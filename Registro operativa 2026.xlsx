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quipo\Documents\SPKS\ETAPA DE MANTOS\"/>
    </mc:Choice>
  </mc:AlternateContent>
  <bookViews>
    <workbookView xWindow="0" yWindow="0" windowWidth="19200" windowHeight="7180" activeTab="11"/>
  </bookViews>
  <sheets>
    <sheet name="Ene" sheetId="1" r:id="rId1"/>
    <sheet name="Feb" sheetId="16" r:id="rId2"/>
    <sheet name="Mar" sheetId="17" r:id="rId3"/>
    <sheet name="Abr" sheetId="18" r:id="rId4"/>
    <sheet name="May" sheetId="19" r:id="rId5"/>
    <sheet name="Jun" sheetId="20" r:id="rId6"/>
    <sheet name="Jul" sheetId="21" r:id="rId7"/>
    <sheet name="Ago" sheetId="22" r:id="rId8"/>
    <sheet name="Sep" sheetId="23" r:id="rId9"/>
    <sheet name="Oct" sheetId="24" r:id="rId10"/>
    <sheet name="Nov" sheetId="25" r:id="rId11"/>
    <sheet name="Dic" sheetId="26" r:id="rId12"/>
    <sheet name="TOTALES" sheetId="14" r:id="rId13"/>
  </sheets>
  <definedNames>
    <definedName name="_xlnm._FilterDatabase" localSheetId="11" hidden="1">Dic!$C$8:$C$12</definedName>
    <definedName name="_xlnm._FilterDatabase" localSheetId="0" hidden="1">Ene!$C$8:$C$12</definedName>
    <definedName name="_xlnm._FilterDatabase" localSheetId="9" hidden="1">Oct!$B$8:$B$12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26" l="1"/>
  <c r="B9" i="24"/>
  <c r="F48" i="23"/>
  <c r="G48" i="23"/>
  <c r="H48" i="23"/>
  <c r="J48" i="23"/>
  <c r="M46" i="23"/>
  <c r="H46" i="23"/>
  <c r="G46" i="23"/>
  <c r="F46" i="23"/>
  <c r="L46" i="23" s="1"/>
  <c r="E46" i="23"/>
  <c r="K46" i="23" s="1"/>
  <c r="D46" i="23"/>
  <c r="L44" i="23"/>
  <c r="K44" i="23"/>
  <c r="J44" i="23"/>
  <c r="I44" i="23"/>
  <c r="L43" i="23"/>
  <c r="K43" i="23"/>
  <c r="J43" i="23"/>
  <c r="I43" i="23"/>
  <c r="L42" i="23"/>
  <c r="K42" i="23"/>
  <c r="J42" i="23"/>
  <c r="I42" i="23"/>
  <c r="L41" i="23"/>
  <c r="K41" i="23"/>
  <c r="J41" i="23"/>
  <c r="I41" i="23"/>
  <c r="C41" i="23"/>
  <c r="C42" i="23" s="1"/>
  <c r="C43" i="23" s="1"/>
  <c r="C44" i="23" s="1"/>
  <c r="L40" i="23"/>
  <c r="K40" i="23"/>
  <c r="J40" i="23"/>
  <c r="I40" i="23"/>
  <c r="I46" i="23" s="1"/>
  <c r="C40" i="23"/>
  <c r="J48" i="18"/>
  <c r="M46" i="18"/>
  <c r="K46" i="18"/>
  <c r="H46" i="18"/>
  <c r="G46" i="18"/>
  <c r="F46" i="18"/>
  <c r="L46" i="18" s="1"/>
  <c r="E46" i="18"/>
  <c r="D46" i="18"/>
  <c r="L44" i="18"/>
  <c r="K44" i="18"/>
  <c r="J44" i="18"/>
  <c r="I44" i="18"/>
  <c r="L43" i="18"/>
  <c r="K43" i="18"/>
  <c r="J43" i="18"/>
  <c r="I43" i="18"/>
  <c r="L42" i="18"/>
  <c r="K42" i="18"/>
  <c r="J42" i="18"/>
  <c r="I42" i="18"/>
  <c r="L41" i="18"/>
  <c r="K41" i="18"/>
  <c r="J41" i="18"/>
  <c r="I41" i="18"/>
  <c r="C41" i="18"/>
  <c r="C42" i="18" s="1"/>
  <c r="C43" i="18" s="1"/>
  <c r="C44" i="18" s="1"/>
  <c r="L40" i="18"/>
  <c r="K40" i="18"/>
  <c r="J40" i="18"/>
  <c r="I40" i="18"/>
  <c r="I46" i="18" s="1"/>
  <c r="C40" i="18"/>
  <c r="J48" i="17"/>
  <c r="J40" i="16"/>
  <c r="J48" i="1"/>
  <c r="J46" i="1"/>
  <c r="M38" i="1"/>
  <c r="K38" i="1"/>
  <c r="J38" i="1"/>
  <c r="I38" i="1"/>
  <c r="H38" i="1"/>
  <c r="G38" i="1"/>
  <c r="F38" i="1"/>
  <c r="L38" i="1" s="1"/>
  <c r="E38" i="1"/>
  <c r="D38" i="1"/>
  <c r="D38" i="18"/>
  <c r="E38" i="18"/>
  <c r="F38" i="18"/>
  <c r="L38" i="18" s="1"/>
  <c r="G38" i="18"/>
  <c r="H38" i="18"/>
  <c r="J38" i="18"/>
  <c r="K38" i="18"/>
  <c r="M38" i="18"/>
  <c r="C9" i="18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C40" i="1"/>
  <c r="C41" i="1" s="1"/>
  <c r="C42" i="1" s="1"/>
  <c r="C43" i="1" s="1"/>
  <c r="C44" i="1" s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C11" i="1"/>
  <c r="F2" i="26"/>
  <c r="F2" i="23"/>
  <c r="F2" i="21"/>
  <c r="F2" i="20"/>
  <c r="F2" i="16"/>
  <c r="J46" i="23" l="1"/>
  <c r="J46" i="18"/>
  <c r="H25" i="24"/>
  <c r="L47" i="24"/>
  <c r="G47" i="24"/>
  <c r="F47" i="24"/>
  <c r="E47" i="24"/>
  <c r="K47" i="24" s="1"/>
  <c r="D47" i="24"/>
  <c r="C47" i="24"/>
  <c r="K45" i="24"/>
  <c r="J45" i="24"/>
  <c r="I45" i="24"/>
  <c r="H45" i="24"/>
  <c r="K44" i="24"/>
  <c r="J44" i="24"/>
  <c r="I44" i="24"/>
  <c r="H44" i="24"/>
  <c r="K43" i="24"/>
  <c r="J43" i="24"/>
  <c r="I43" i="24"/>
  <c r="H43" i="24"/>
  <c r="K42" i="24"/>
  <c r="J42" i="24"/>
  <c r="I42" i="24"/>
  <c r="H42" i="24"/>
  <c r="B42" i="24"/>
  <c r="B43" i="24" s="1"/>
  <c r="B44" i="24" s="1"/>
  <c r="B45" i="24" s="1"/>
  <c r="K41" i="24"/>
  <c r="J41" i="24"/>
  <c r="I41" i="24"/>
  <c r="H41" i="24"/>
  <c r="D49" i="25"/>
  <c r="I8" i="24"/>
  <c r="C9" i="19"/>
  <c r="C9" i="22"/>
  <c r="D8" i="1"/>
  <c r="D9" i="1"/>
  <c r="D11" i="1"/>
  <c r="D12" i="1"/>
  <c r="I8" i="1"/>
  <c r="I9" i="1"/>
  <c r="J8" i="1"/>
  <c r="J9" i="1"/>
  <c r="L8" i="1"/>
  <c r="L9" i="1"/>
  <c r="K8" i="1"/>
  <c r="K9" i="1"/>
  <c r="M46" i="20"/>
  <c r="H46" i="20"/>
  <c r="G46" i="20"/>
  <c r="F46" i="20"/>
  <c r="L46" i="20" s="1"/>
  <c r="E46" i="20"/>
  <c r="J46" i="20" s="1"/>
  <c r="D46" i="20"/>
  <c r="L44" i="20"/>
  <c r="K44" i="20"/>
  <c r="J44" i="20"/>
  <c r="I44" i="20"/>
  <c r="L43" i="20"/>
  <c r="K43" i="20"/>
  <c r="J43" i="20"/>
  <c r="I43" i="20"/>
  <c r="L42" i="20"/>
  <c r="K42" i="20"/>
  <c r="J42" i="20"/>
  <c r="I42" i="20"/>
  <c r="L41" i="20"/>
  <c r="K41" i="20"/>
  <c r="J41" i="20"/>
  <c r="I41" i="20"/>
  <c r="I46" i="20" s="1"/>
  <c r="L40" i="20"/>
  <c r="K40" i="20"/>
  <c r="J40" i="20"/>
  <c r="I40" i="20"/>
  <c r="M46" i="17"/>
  <c r="H46" i="17"/>
  <c r="G46" i="17"/>
  <c r="F46" i="17"/>
  <c r="L46" i="17" s="1"/>
  <c r="E46" i="17"/>
  <c r="K46" i="17" s="1"/>
  <c r="D46" i="17"/>
  <c r="D38" i="17"/>
  <c r="E38" i="17"/>
  <c r="K38" i="17" s="1"/>
  <c r="F38" i="17"/>
  <c r="L38" i="17" s="1"/>
  <c r="G38" i="17"/>
  <c r="H38" i="17"/>
  <c r="M38" i="17"/>
  <c r="B10" i="24"/>
  <c r="B11" i="24" s="1"/>
  <c r="B12" i="24" s="1"/>
  <c r="B16" i="24" s="1"/>
  <c r="C9" i="26"/>
  <c r="C10" i="26" s="1"/>
  <c r="C11" i="26" s="1"/>
  <c r="C12" i="26" s="1"/>
  <c r="H8" i="24"/>
  <c r="J8" i="24"/>
  <c r="K8" i="24"/>
  <c r="C9" i="23"/>
  <c r="C10" i="23" s="1"/>
  <c r="C11" i="23" s="1"/>
  <c r="C12" i="23" s="1"/>
  <c r="C16" i="23" s="1"/>
  <c r="C9" i="21"/>
  <c r="C9" i="20"/>
  <c r="C10" i="20" s="1"/>
  <c r="C11" i="20" s="1"/>
  <c r="C12" i="20" s="1"/>
  <c r="C16" i="20" s="1"/>
  <c r="F38" i="19"/>
  <c r="E38" i="19"/>
  <c r="D38" i="19"/>
  <c r="J36" i="19"/>
  <c r="I36" i="19"/>
  <c r="K36" i="19"/>
  <c r="L36" i="19"/>
  <c r="J8" i="16"/>
  <c r="J10" i="1"/>
  <c r="I36" i="16"/>
  <c r="J36" i="16"/>
  <c r="K36" i="16"/>
  <c r="L36" i="16"/>
  <c r="J38" i="17" l="1"/>
  <c r="H47" i="24"/>
  <c r="J47" i="24"/>
  <c r="I47" i="24"/>
  <c r="K46" i="20"/>
  <c r="I46" i="17"/>
  <c r="J46" i="17"/>
  <c r="J36" i="23"/>
  <c r="I36" i="23"/>
  <c r="K36" i="23"/>
  <c r="L36" i="23"/>
  <c r="I8" i="20"/>
  <c r="J8" i="20"/>
  <c r="K8" i="20"/>
  <c r="L8" i="20"/>
  <c r="I9" i="20"/>
  <c r="J9" i="20"/>
  <c r="K9" i="20"/>
  <c r="L9" i="20"/>
  <c r="I10" i="20"/>
  <c r="J10" i="20"/>
  <c r="K10" i="20"/>
  <c r="L10" i="20"/>
  <c r="I11" i="20"/>
  <c r="J11" i="20"/>
  <c r="K11" i="20"/>
  <c r="L11" i="20"/>
  <c r="I35" i="17"/>
  <c r="J35" i="17"/>
  <c r="K35" i="17"/>
  <c r="L35" i="17"/>
  <c r="I36" i="17"/>
  <c r="J36" i="17"/>
  <c r="K36" i="17"/>
  <c r="L36" i="17"/>
  <c r="I35" i="16"/>
  <c r="J35" i="16"/>
  <c r="K35" i="16"/>
  <c r="L35" i="16"/>
  <c r="N13" i="14" l="1"/>
  <c r="N12" i="14"/>
  <c r="N11" i="14"/>
  <c r="N10" i="14"/>
  <c r="N8" i="14"/>
  <c r="N7" i="14"/>
  <c r="N6" i="14"/>
  <c r="N4" i="14"/>
  <c r="K26" i="26"/>
  <c r="M38" i="26" l="1"/>
  <c r="H38" i="26"/>
  <c r="G38" i="26"/>
  <c r="F38" i="26"/>
  <c r="L38" i="26" s="1"/>
  <c r="E38" i="26"/>
  <c r="D38" i="26"/>
  <c r="L36" i="26"/>
  <c r="K36" i="26"/>
  <c r="J36" i="26"/>
  <c r="I36" i="26"/>
  <c r="L35" i="26"/>
  <c r="K35" i="26"/>
  <c r="J35" i="26"/>
  <c r="I35" i="26"/>
  <c r="L34" i="26"/>
  <c r="K34" i="26"/>
  <c r="J34" i="26"/>
  <c r="I34" i="26"/>
  <c r="L33" i="26"/>
  <c r="K33" i="26"/>
  <c r="J33" i="26"/>
  <c r="I33" i="26"/>
  <c r="L32" i="26"/>
  <c r="K32" i="26"/>
  <c r="J32" i="26"/>
  <c r="I32" i="26"/>
  <c r="M30" i="26"/>
  <c r="H30" i="26"/>
  <c r="G30" i="26"/>
  <c r="F30" i="26"/>
  <c r="L30" i="26" s="1"/>
  <c r="E30" i="26"/>
  <c r="K30" i="26" s="1"/>
  <c r="D30" i="26"/>
  <c r="L28" i="26"/>
  <c r="K28" i="26"/>
  <c r="J28" i="26"/>
  <c r="I28" i="26"/>
  <c r="L27" i="26"/>
  <c r="K27" i="26"/>
  <c r="J27" i="26"/>
  <c r="I27" i="26"/>
  <c r="L26" i="26"/>
  <c r="J26" i="26"/>
  <c r="I26" i="26"/>
  <c r="L25" i="26"/>
  <c r="K25" i="26"/>
  <c r="J25" i="26"/>
  <c r="I25" i="26"/>
  <c r="L24" i="26"/>
  <c r="K24" i="26"/>
  <c r="J24" i="26"/>
  <c r="I24" i="26"/>
  <c r="M22" i="26"/>
  <c r="H22" i="26"/>
  <c r="G22" i="26"/>
  <c r="F22" i="26"/>
  <c r="L22" i="26" s="1"/>
  <c r="E22" i="26"/>
  <c r="K22" i="26" s="1"/>
  <c r="D22" i="26"/>
  <c r="L20" i="26"/>
  <c r="K20" i="26"/>
  <c r="J20" i="26"/>
  <c r="I20" i="26"/>
  <c r="L19" i="26"/>
  <c r="K19" i="26"/>
  <c r="J19" i="26"/>
  <c r="I19" i="26"/>
  <c r="L18" i="26"/>
  <c r="K18" i="26"/>
  <c r="J18" i="26"/>
  <c r="I18" i="26"/>
  <c r="L17" i="26"/>
  <c r="K17" i="26"/>
  <c r="J17" i="26"/>
  <c r="I17" i="26"/>
  <c r="C17" i="26"/>
  <c r="C18" i="26" s="1"/>
  <c r="C19" i="26" s="1"/>
  <c r="C20" i="26" s="1"/>
  <c r="C24" i="26" s="1"/>
  <c r="C25" i="26" s="1"/>
  <c r="C26" i="26" s="1"/>
  <c r="C27" i="26" s="1"/>
  <c r="C28" i="26" s="1"/>
  <c r="C32" i="26" s="1"/>
  <c r="C33" i="26" s="1"/>
  <c r="C34" i="26" s="1"/>
  <c r="C35" i="26" s="1"/>
  <c r="C36" i="26" s="1"/>
  <c r="L16" i="26"/>
  <c r="K16" i="26"/>
  <c r="J16" i="26"/>
  <c r="I16" i="26"/>
  <c r="M14" i="26"/>
  <c r="H14" i="26"/>
  <c r="G14" i="26"/>
  <c r="F14" i="26"/>
  <c r="E14" i="26"/>
  <c r="D14" i="26"/>
  <c r="L12" i="26"/>
  <c r="K12" i="26"/>
  <c r="J12" i="26"/>
  <c r="I12" i="26"/>
  <c r="L11" i="26"/>
  <c r="K11" i="26"/>
  <c r="J11" i="26"/>
  <c r="I11" i="26"/>
  <c r="L10" i="26"/>
  <c r="K10" i="26"/>
  <c r="J10" i="26"/>
  <c r="I10" i="26"/>
  <c r="L9" i="26"/>
  <c r="K9" i="26"/>
  <c r="J9" i="26"/>
  <c r="I9" i="26"/>
  <c r="L8" i="26"/>
  <c r="K8" i="26"/>
  <c r="J8" i="26"/>
  <c r="I8" i="26"/>
  <c r="M38" i="25"/>
  <c r="H38" i="25"/>
  <c r="G38" i="25"/>
  <c r="F38" i="25"/>
  <c r="L38" i="25" s="1"/>
  <c r="E38" i="25"/>
  <c r="D38" i="25"/>
  <c r="L36" i="25"/>
  <c r="K36" i="25"/>
  <c r="J36" i="25"/>
  <c r="I36" i="25"/>
  <c r="L35" i="25"/>
  <c r="K35" i="25"/>
  <c r="J35" i="25"/>
  <c r="I35" i="25"/>
  <c r="L34" i="25"/>
  <c r="K34" i="25"/>
  <c r="J34" i="25"/>
  <c r="I34" i="25"/>
  <c r="L33" i="25"/>
  <c r="K33" i="25"/>
  <c r="J33" i="25"/>
  <c r="I33" i="25"/>
  <c r="L32" i="25"/>
  <c r="K32" i="25"/>
  <c r="J32" i="25"/>
  <c r="I32" i="25"/>
  <c r="M30" i="25"/>
  <c r="H30" i="25"/>
  <c r="G30" i="25"/>
  <c r="F30" i="25"/>
  <c r="L30" i="25" s="1"/>
  <c r="E30" i="25"/>
  <c r="K30" i="25" s="1"/>
  <c r="D30" i="25"/>
  <c r="L28" i="25"/>
  <c r="K28" i="25"/>
  <c r="J28" i="25"/>
  <c r="I28" i="25"/>
  <c r="L27" i="25"/>
  <c r="K27" i="25"/>
  <c r="J27" i="25"/>
  <c r="I27" i="25"/>
  <c r="L26" i="25"/>
  <c r="K26" i="25"/>
  <c r="J26" i="25"/>
  <c r="I26" i="25"/>
  <c r="L25" i="25"/>
  <c r="K25" i="25"/>
  <c r="J25" i="25"/>
  <c r="I25" i="25"/>
  <c r="L24" i="25"/>
  <c r="K24" i="25"/>
  <c r="J24" i="25"/>
  <c r="I24" i="25"/>
  <c r="M22" i="25"/>
  <c r="H22" i="25"/>
  <c r="G22" i="25"/>
  <c r="F22" i="25"/>
  <c r="L22" i="25" s="1"/>
  <c r="E22" i="25"/>
  <c r="D22" i="25"/>
  <c r="L20" i="25"/>
  <c r="K20" i="25"/>
  <c r="J20" i="25"/>
  <c r="I20" i="25"/>
  <c r="L19" i="25"/>
  <c r="K19" i="25"/>
  <c r="J19" i="25"/>
  <c r="I19" i="25"/>
  <c r="L18" i="25"/>
  <c r="K18" i="25"/>
  <c r="J18" i="25"/>
  <c r="I18" i="25"/>
  <c r="L17" i="25"/>
  <c r="K17" i="25"/>
  <c r="J17" i="25"/>
  <c r="I17" i="25"/>
  <c r="L16" i="25"/>
  <c r="K16" i="25"/>
  <c r="J16" i="25"/>
  <c r="I16" i="25"/>
  <c r="M14" i="25"/>
  <c r="H14" i="25"/>
  <c r="G14" i="25"/>
  <c r="F14" i="25"/>
  <c r="E14" i="25"/>
  <c r="E49" i="25" s="1"/>
  <c r="D14" i="25"/>
  <c r="L12" i="25"/>
  <c r="K12" i="25"/>
  <c r="J12" i="25"/>
  <c r="I12" i="25"/>
  <c r="L11" i="25"/>
  <c r="K11" i="25"/>
  <c r="J11" i="25"/>
  <c r="I11" i="25"/>
  <c r="L10" i="25"/>
  <c r="K10" i="25"/>
  <c r="J10" i="25"/>
  <c r="I10" i="25"/>
  <c r="L9" i="25"/>
  <c r="K9" i="25"/>
  <c r="J9" i="25"/>
  <c r="I9" i="25"/>
  <c r="C9" i="25"/>
  <c r="C10" i="25" s="1"/>
  <c r="C11" i="25" s="1"/>
  <c r="C12" i="25" s="1"/>
  <c r="C16" i="25" s="1"/>
  <c r="C17" i="25" s="1"/>
  <c r="C18" i="25" s="1"/>
  <c r="C19" i="25" s="1"/>
  <c r="C20" i="25" s="1"/>
  <c r="C24" i="25" s="1"/>
  <c r="C25" i="25" s="1"/>
  <c r="C26" i="25" s="1"/>
  <c r="C27" i="25" s="1"/>
  <c r="C28" i="25" s="1"/>
  <c r="C32" i="25" s="1"/>
  <c r="C33" i="25" s="1"/>
  <c r="C34" i="25" s="1"/>
  <c r="C35" i="25" s="1"/>
  <c r="C36" i="25" s="1"/>
  <c r="L8" i="25"/>
  <c r="K8" i="25"/>
  <c r="J8" i="25"/>
  <c r="I8" i="25"/>
  <c r="L38" i="24"/>
  <c r="G38" i="24"/>
  <c r="F38" i="24"/>
  <c r="E38" i="24"/>
  <c r="D38" i="24"/>
  <c r="C38" i="24"/>
  <c r="K36" i="24"/>
  <c r="J36" i="24"/>
  <c r="I36" i="24"/>
  <c r="H36" i="24"/>
  <c r="K35" i="24"/>
  <c r="J35" i="24"/>
  <c r="I35" i="24"/>
  <c r="H35" i="24"/>
  <c r="K34" i="24"/>
  <c r="J34" i="24"/>
  <c r="I34" i="24"/>
  <c r="H34" i="24"/>
  <c r="K33" i="24"/>
  <c r="J33" i="24"/>
  <c r="I33" i="24"/>
  <c r="H33" i="24"/>
  <c r="K32" i="24"/>
  <c r="J32" i="24"/>
  <c r="I32" i="24"/>
  <c r="H32" i="24"/>
  <c r="L30" i="24"/>
  <c r="G30" i="24"/>
  <c r="F30" i="24"/>
  <c r="E30" i="24"/>
  <c r="D30" i="24"/>
  <c r="C30" i="24"/>
  <c r="K28" i="24"/>
  <c r="J28" i="24"/>
  <c r="I28" i="24"/>
  <c r="H28" i="24"/>
  <c r="K27" i="24"/>
  <c r="J27" i="24"/>
  <c r="I27" i="24"/>
  <c r="H27" i="24"/>
  <c r="K26" i="24"/>
  <c r="J26" i="24"/>
  <c r="I26" i="24"/>
  <c r="H26" i="24"/>
  <c r="K25" i="24"/>
  <c r="J25" i="24"/>
  <c r="I25" i="24"/>
  <c r="K24" i="24"/>
  <c r="J24" i="24"/>
  <c r="I24" i="24"/>
  <c r="H24" i="24"/>
  <c r="L22" i="24"/>
  <c r="G22" i="24"/>
  <c r="F22" i="24"/>
  <c r="E22" i="24"/>
  <c r="D22" i="24"/>
  <c r="C22" i="24"/>
  <c r="K20" i="24"/>
  <c r="J20" i="24"/>
  <c r="I20" i="24"/>
  <c r="H20" i="24"/>
  <c r="K19" i="24"/>
  <c r="J19" i="24"/>
  <c r="I19" i="24"/>
  <c r="H19" i="24"/>
  <c r="K18" i="24"/>
  <c r="J18" i="24"/>
  <c r="I18" i="24"/>
  <c r="H18" i="24"/>
  <c r="K17" i="24"/>
  <c r="J17" i="24"/>
  <c r="I17" i="24"/>
  <c r="H17" i="24"/>
  <c r="B17" i="24"/>
  <c r="B18" i="24" s="1"/>
  <c r="B19" i="24" s="1"/>
  <c r="B20" i="24" s="1"/>
  <c r="B24" i="24" s="1"/>
  <c r="B25" i="24" s="1"/>
  <c r="B26" i="24" s="1"/>
  <c r="B27" i="24" s="1"/>
  <c r="B28" i="24" s="1"/>
  <c r="B32" i="24" s="1"/>
  <c r="B33" i="24" s="1"/>
  <c r="B34" i="24" s="1"/>
  <c r="B35" i="24" s="1"/>
  <c r="B36" i="24" s="1"/>
  <c r="K16" i="24"/>
  <c r="J16" i="24"/>
  <c r="I16" i="24"/>
  <c r="H16" i="24"/>
  <c r="L14" i="24"/>
  <c r="G14" i="24"/>
  <c r="F14" i="24"/>
  <c r="E14" i="24"/>
  <c r="D14" i="24"/>
  <c r="C14" i="24"/>
  <c r="K12" i="24"/>
  <c r="J12" i="24"/>
  <c r="I12" i="24"/>
  <c r="H12" i="24"/>
  <c r="K11" i="24"/>
  <c r="J11" i="24"/>
  <c r="I11" i="24"/>
  <c r="H11" i="24"/>
  <c r="K10" i="24"/>
  <c r="J10" i="24"/>
  <c r="I10" i="24"/>
  <c r="H10" i="24"/>
  <c r="K9" i="24"/>
  <c r="J9" i="24"/>
  <c r="I9" i="24"/>
  <c r="H9" i="24"/>
  <c r="M38" i="23"/>
  <c r="H38" i="23"/>
  <c r="G38" i="23"/>
  <c r="F38" i="23"/>
  <c r="L38" i="23" s="1"/>
  <c r="E38" i="23"/>
  <c r="K38" i="23" s="1"/>
  <c r="D38" i="23"/>
  <c r="L35" i="23"/>
  <c r="K35" i="23"/>
  <c r="J35" i="23"/>
  <c r="I35" i="23"/>
  <c r="L34" i="23"/>
  <c r="K34" i="23"/>
  <c r="J34" i="23"/>
  <c r="I34" i="23"/>
  <c r="L33" i="23"/>
  <c r="K33" i="23"/>
  <c r="J33" i="23"/>
  <c r="I33" i="23"/>
  <c r="L32" i="23"/>
  <c r="K32" i="23"/>
  <c r="J32" i="23"/>
  <c r="I32" i="23"/>
  <c r="M30" i="23"/>
  <c r="L30" i="23"/>
  <c r="H30" i="23"/>
  <c r="G30" i="23"/>
  <c r="F30" i="23"/>
  <c r="E30" i="23"/>
  <c r="K30" i="23" s="1"/>
  <c r="D30" i="23"/>
  <c r="L28" i="23"/>
  <c r="K28" i="23"/>
  <c r="J28" i="23"/>
  <c r="I28" i="23"/>
  <c r="L27" i="23"/>
  <c r="K27" i="23"/>
  <c r="J27" i="23"/>
  <c r="I27" i="23"/>
  <c r="L26" i="23"/>
  <c r="K26" i="23"/>
  <c r="J26" i="23"/>
  <c r="I26" i="23"/>
  <c r="L25" i="23"/>
  <c r="K25" i="23"/>
  <c r="J25" i="23"/>
  <c r="I25" i="23"/>
  <c r="L24" i="23"/>
  <c r="K24" i="23"/>
  <c r="J24" i="23"/>
  <c r="I24" i="23"/>
  <c r="M22" i="23"/>
  <c r="H22" i="23"/>
  <c r="G22" i="23"/>
  <c r="F22" i="23"/>
  <c r="L22" i="23" s="1"/>
  <c r="E22" i="23"/>
  <c r="D22" i="23"/>
  <c r="L20" i="23"/>
  <c r="K20" i="23"/>
  <c r="J20" i="23"/>
  <c r="I20" i="23"/>
  <c r="L19" i="23"/>
  <c r="K19" i="23"/>
  <c r="J19" i="23"/>
  <c r="I19" i="23"/>
  <c r="L18" i="23"/>
  <c r="K18" i="23"/>
  <c r="J18" i="23"/>
  <c r="I18" i="23"/>
  <c r="L17" i="23"/>
  <c r="K17" i="23"/>
  <c r="J17" i="23"/>
  <c r="I17" i="23"/>
  <c r="C17" i="23"/>
  <c r="C18" i="23" s="1"/>
  <c r="C19" i="23" s="1"/>
  <c r="C20" i="23" s="1"/>
  <c r="C24" i="23" s="1"/>
  <c r="C25" i="23" s="1"/>
  <c r="L16" i="23"/>
  <c r="K16" i="23"/>
  <c r="J16" i="23"/>
  <c r="I16" i="23"/>
  <c r="M14" i="23"/>
  <c r="H14" i="23"/>
  <c r="G14" i="23"/>
  <c r="F14" i="23"/>
  <c r="E14" i="23"/>
  <c r="D14" i="23"/>
  <c r="L12" i="23"/>
  <c r="K12" i="23"/>
  <c r="J12" i="23"/>
  <c r="I12" i="23"/>
  <c r="L11" i="23"/>
  <c r="K11" i="23"/>
  <c r="J11" i="23"/>
  <c r="I11" i="23"/>
  <c r="L10" i="23"/>
  <c r="K10" i="23"/>
  <c r="J10" i="23"/>
  <c r="I10" i="23"/>
  <c r="L9" i="23"/>
  <c r="K9" i="23"/>
  <c r="J9" i="23"/>
  <c r="I9" i="23"/>
  <c r="L8" i="23"/>
  <c r="K8" i="23"/>
  <c r="J8" i="23"/>
  <c r="I8" i="23"/>
  <c r="M38" i="22"/>
  <c r="H38" i="22"/>
  <c r="F38" i="22"/>
  <c r="L38" i="22" s="1"/>
  <c r="E38" i="22"/>
  <c r="K38" i="22" s="1"/>
  <c r="D38" i="22"/>
  <c r="L36" i="22"/>
  <c r="K36" i="22"/>
  <c r="J36" i="22"/>
  <c r="I36" i="22"/>
  <c r="L35" i="22"/>
  <c r="K35" i="22"/>
  <c r="J35" i="22"/>
  <c r="I35" i="22"/>
  <c r="L34" i="22"/>
  <c r="K34" i="22"/>
  <c r="J34" i="22"/>
  <c r="I34" i="22"/>
  <c r="L33" i="22"/>
  <c r="K33" i="22"/>
  <c r="J33" i="22"/>
  <c r="I33" i="22"/>
  <c r="L32" i="22"/>
  <c r="K32" i="22"/>
  <c r="J32" i="22"/>
  <c r="I32" i="22"/>
  <c r="M30" i="22"/>
  <c r="H30" i="22"/>
  <c r="G30" i="22"/>
  <c r="F30" i="22"/>
  <c r="L30" i="22" s="1"/>
  <c r="E30" i="22"/>
  <c r="D30" i="22"/>
  <c r="L28" i="22"/>
  <c r="K28" i="22"/>
  <c r="J28" i="22"/>
  <c r="I28" i="22"/>
  <c r="L27" i="22"/>
  <c r="K27" i="22"/>
  <c r="J27" i="22"/>
  <c r="I27" i="22"/>
  <c r="L26" i="22"/>
  <c r="K26" i="22"/>
  <c r="J26" i="22"/>
  <c r="I26" i="22"/>
  <c r="L25" i="22"/>
  <c r="K25" i="22"/>
  <c r="J25" i="22"/>
  <c r="I25" i="22"/>
  <c r="L24" i="22"/>
  <c r="K24" i="22"/>
  <c r="J24" i="22"/>
  <c r="I24" i="22"/>
  <c r="M22" i="22"/>
  <c r="H22" i="22"/>
  <c r="G22" i="22"/>
  <c r="F22" i="22"/>
  <c r="L22" i="22" s="1"/>
  <c r="E22" i="22"/>
  <c r="K22" i="22" s="1"/>
  <c r="D22" i="22"/>
  <c r="L20" i="22"/>
  <c r="K20" i="22"/>
  <c r="J20" i="22"/>
  <c r="I20" i="22"/>
  <c r="L19" i="22"/>
  <c r="K19" i="22"/>
  <c r="J19" i="22"/>
  <c r="I19" i="22"/>
  <c r="L18" i="22"/>
  <c r="K18" i="22"/>
  <c r="J18" i="22"/>
  <c r="I18" i="22"/>
  <c r="L17" i="22"/>
  <c r="K17" i="22"/>
  <c r="J17" i="22"/>
  <c r="I17" i="22"/>
  <c r="L16" i="22"/>
  <c r="K16" i="22"/>
  <c r="J16" i="22"/>
  <c r="I16" i="22"/>
  <c r="M14" i="22"/>
  <c r="H14" i="22"/>
  <c r="G14" i="22"/>
  <c r="G42" i="22" s="1"/>
  <c r="F14" i="22"/>
  <c r="E14" i="22"/>
  <c r="D14" i="22"/>
  <c r="L12" i="22"/>
  <c r="K12" i="22"/>
  <c r="J12" i="22"/>
  <c r="I12" i="22"/>
  <c r="L11" i="22"/>
  <c r="K11" i="22"/>
  <c r="J11" i="22"/>
  <c r="I11" i="22"/>
  <c r="L10" i="22"/>
  <c r="K10" i="22"/>
  <c r="J10" i="22"/>
  <c r="I10" i="22"/>
  <c r="L9" i="22"/>
  <c r="K9" i="22"/>
  <c r="J9" i="22"/>
  <c r="I9" i="22"/>
  <c r="C10" i="22"/>
  <c r="C11" i="22" s="1"/>
  <c r="C12" i="22" s="1"/>
  <c r="C16" i="22" s="1"/>
  <c r="C17" i="22" s="1"/>
  <c r="C18" i="22" s="1"/>
  <c r="C19" i="22" s="1"/>
  <c r="C20" i="22" s="1"/>
  <c r="C24" i="22" s="1"/>
  <c r="C25" i="22" s="1"/>
  <c r="C26" i="22" s="1"/>
  <c r="C27" i="22" s="1"/>
  <c r="C28" i="22" s="1"/>
  <c r="C32" i="22" s="1"/>
  <c r="C33" i="22" s="1"/>
  <c r="C34" i="22" s="1"/>
  <c r="C35" i="22" s="1"/>
  <c r="C36" i="22" s="1"/>
  <c r="L8" i="22"/>
  <c r="K8" i="22"/>
  <c r="J8" i="22"/>
  <c r="I8" i="22"/>
  <c r="M38" i="21"/>
  <c r="H38" i="21"/>
  <c r="G38" i="21"/>
  <c r="F38" i="21"/>
  <c r="L38" i="21" s="1"/>
  <c r="E38" i="21"/>
  <c r="D38" i="21"/>
  <c r="L36" i="21"/>
  <c r="K36" i="21"/>
  <c r="J36" i="21"/>
  <c r="I36" i="21"/>
  <c r="L35" i="21"/>
  <c r="K35" i="21"/>
  <c r="J35" i="21"/>
  <c r="I35" i="21"/>
  <c r="L34" i="21"/>
  <c r="K34" i="21"/>
  <c r="J34" i="21"/>
  <c r="I34" i="21"/>
  <c r="L33" i="21"/>
  <c r="K33" i="21"/>
  <c r="J33" i="21"/>
  <c r="I33" i="21"/>
  <c r="L32" i="21"/>
  <c r="K32" i="21"/>
  <c r="J32" i="21"/>
  <c r="I32" i="21"/>
  <c r="M30" i="21"/>
  <c r="H30" i="21"/>
  <c r="G30" i="21"/>
  <c r="F30" i="21"/>
  <c r="L30" i="21" s="1"/>
  <c r="E30" i="21"/>
  <c r="K30" i="21" s="1"/>
  <c r="D30" i="21"/>
  <c r="L28" i="21"/>
  <c r="K28" i="21"/>
  <c r="J28" i="21"/>
  <c r="I28" i="21"/>
  <c r="L27" i="21"/>
  <c r="K27" i="21"/>
  <c r="J27" i="21"/>
  <c r="I27" i="21"/>
  <c r="L26" i="21"/>
  <c r="K26" i="21"/>
  <c r="J26" i="21"/>
  <c r="I26" i="21"/>
  <c r="L25" i="21"/>
  <c r="K25" i="21"/>
  <c r="J25" i="21"/>
  <c r="I25" i="21"/>
  <c r="L24" i="21"/>
  <c r="K24" i="21"/>
  <c r="J24" i="21"/>
  <c r="I24" i="21"/>
  <c r="M22" i="21"/>
  <c r="H22" i="21"/>
  <c r="G22" i="21"/>
  <c r="F22" i="21"/>
  <c r="L22" i="21" s="1"/>
  <c r="E22" i="21"/>
  <c r="K22" i="21" s="1"/>
  <c r="D22" i="21"/>
  <c r="L20" i="21"/>
  <c r="K20" i="21"/>
  <c r="J20" i="21"/>
  <c r="I20" i="21"/>
  <c r="L19" i="21"/>
  <c r="K19" i="21"/>
  <c r="J19" i="21"/>
  <c r="I19" i="21"/>
  <c r="L18" i="21"/>
  <c r="K18" i="21"/>
  <c r="J18" i="21"/>
  <c r="I18" i="21"/>
  <c r="L17" i="21"/>
  <c r="K17" i="21"/>
  <c r="J17" i="21"/>
  <c r="I17" i="21"/>
  <c r="L16" i="21"/>
  <c r="K16" i="21"/>
  <c r="J16" i="21"/>
  <c r="I16" i="21"/>
  <c r="M14" i="21"/>
  <c r="H14" i="21"/>
  <c r="G14" i="21"/>
  <c r="F14" i="21"/>
  <c r="E14" i="21"/>
  <c r="D14" i="21"/>
  <c r="L12" i="21"/>
  <c r="K12" i="21"/>
  <c r="J12" i="21"/>
  <c r="I12" i="21"/>
  <c r="L11" i="21"/>
  <c r="K11" i="21"/>
  <c r="J11" i="21"/>
  <c r="I11" i="21"/>
  <c r="L10" i="21"/>
  <c r="K10" i="21"/>
  <c r="J10" i="21"/>
  <c r="I10" i="21"/>
  <c r="C10" i="21"/>
  <c r="C11" i="21" s="1"/>
  <c r="C12" i="21" s="1"/>
  <c r="C16" i="21" s="1"/>
  <c r="C17" i="21" s="1"/>
  <c r="C18" i="21" s="1"/>
  <c r="C19" i="21" s="1"/>
  <c r="C20" i="21" s="1"/>
  <c r="C24" i="21" s="1"/>
  <c r="C25" i="21" s="1"/>
  <c r="C26" i="21" s="1"/>
  <c r="C27" i="21" s="1"/>
  <c r="C28" i="21" s="1"/>
  <c r="C32" i="21" s="1"/>
  <c r="C33" i="21" s="1"/>
  <c r="C34" i="21" s="1"/>
  <c r="C35" i="21" s="1"/>
  <c r="C36" i="21" s="1"/>
  <c r="L9" i="21"/>
  <c r="K9" i="21"/>
  <c r="J9" i="21"/>
  <c r="I9" i="21"/>
  <c r="L8" i="21"/>
  <c r="K8" i="21"/>
  <c r="J8" i="21"/>
  <c r="I8" i="21"/>
  <c r="M38" i="20"/>
  <c r="H38" i="20"/>
  <c r="G38" i="20"/>
  <c r="F38" i="20"/>
  <c r="L38" i="20" s="1"/>
  <c r="E38" i="20"/>
  <c r="D38" i="20"/>
  <c r="L36" i="20"/>
  <c r="K36" i="20"/>
  <c r="J36" i="20"/>
  <c r="I36" i="20"/>
  <c r="L35" i="20"/>
  <c r="K35" i="20"/>
  <c r="J35" i="20"/>
  <c r="I35" i="20"/>
  <c r="L34" i="20"/>
  <c r="K34" i="20"/>
  <c r="J34" i="20"/>
  <c r="I34" i="20"/>
  <c r="L33" i="20"/>
  <c r="K33" i="20"/>
  <c r="J33" i="20"/>
  <c r="I33" i="20"/>
  <c r="L32" i="20"/>
  <c r="K32" i="20"/>
  <c r="J32" i="20"/>
  <c r="I32" i="20"/>
  <c r="M30" i="20"/>
  <c r="H30" i="20"/>
  <c r="G30" i="20"/>
  <c r="F30" i="20"/>
  <c r="E30" i="20"/>
  <c r="K30" i="20" s="1"/>
  <c r="D30" i="20"/>
  <c r="L28" i="20"/>
  <c r="K28" i="20"/>
  <c r="J28" i="20"/>
  <c r="I28" i="20"/>
  <c r="L27" i="20"/>
  <c r="K27" i="20"/>
  <c r="J27" i="20"/>
  <c r="I27" i="20"/>
  <c r="L26" i="20"/>
  <c r="K26" i="20"/>
  <c r="J26" i="20"/>
  <c r="I26" i="20"/>
  <c r="L25" i="20"/>
  <c r="K25" i="20"/>
  <c r="J25" i="20"/>
  <c r="I25" i="20"/>
  <c r="L24" i="20"/>
  <c r="K24" i="20"/>
  <c r="J24" i="20"/>
  <c r="I24" i="20"/>
  <c r="M22" i="20"/>
  <c r="H22" i="20"/>
  <c r="G22" i="20"/>
  <c r="F22" i="20"/>
  <c r="E22" i="20"/>
  <c r="D22" i="20"/>
  <c r="L20" i="20"/>
  <c r="K20" i="20"/>
  <c r="J20" i="20"/>
  <c r="I20" i="20"/>
  <c r="L19" i="20"/>
  <c r="K19" i="20"/>
  <c r="J19" i="20"/>
  <c r="I19" i="20"/>
  <c r="L18" i="20"/>
  <c r="K18" i="20"/>
  <c r="J18" i="20"/>
  <c r="I18" i="20"/>
  <c r="L17" i="20"/>
  <c r="K17" i="20"/>
  <c r="J17" i="20"/>
  <c r="I17" i="20"/>
  <c r="C17" i="20"/>
  <c r="C18" i="20" s="1"/>
  <c r="C19" i="20" s="1"/>
  <c r="C20" i="20" s="1"/>
  <c r="C24" i="20" s="1"/>
  <c r="C25" i="20" s="1"/>
  <c r="C26" i="20" s="1"/>
  <c r="C27" i="20" s="1"/>
  <c r="C28" i="20" s="1"/>
  <c r="C32" i="20" s="1"/>
  <c r="C33" i="20" s="1"/>
  <c r="C34" i="20" s="1"/>
  <c r="C35" i="20" s="1"/>
  <c r="C36" i="20" s="1"/>
  <c r="C40" i="20" s="1"/>
  <c r="C41" i="20" s="1"/>
  <c r="C42" i="20" s="1"/>
  <c r="C43" i="20" s="1"/>
  <c r="C44" i="20" s="1"/>
  <c r="L16" i="20"/>
  <c r="K16" i="20"/>
  <c r="J16" i="20"/>
  <c r="I16" i="20"/>
  <c r="M14" i="20"/>
  <c r="H14" i="20"/>
  <c r="G14" i="20"/>
  <c r="F14" i="20"/>
  <c r="F48" i="20" s="1"/>
  <c r="E14" i="20"/>
  <c r="D14" i="20"/>
  <c r="L12" i="20"/>
  <c r="K12" i="20"/>
  <c r="J12" i="20"/>
  <c r="I12" i="20"/>
  <c r="I14" i="20" s="1"/>
  <c r="M38" i="19"/>
  <c r="H38" i="19"/>
  <c r="G38" i="19"/>
  <c r="L38" i="19"/>
  <c r="J38" i="19"/>
  <c r="L35" i="19"/>
  <c r="K35" i="19"/>
  <c r="J35" i="19"/>
  <c r="I35" i="19"/>
  <c r="L34" i="19"/>
  <c r="K34" i="19"/>
  <c r="J34" i="19"/>
  <c r="I34" i="19"/>
  <c r="L33" i="19"/>
  <c r="K33" i="19"/>
  <c r="J33" i="19"/>
  <c r="I33" i="19"/>
  <c r="L32" i="19"/>
  <c r="K32" i="19"/>
  <c r="J32" i="19"/>
  <c r="I32" i="19"/>
  <c r="M30" i="19"/>
  <c r="H30" i="19"/>
  <c r="G30" i="19"/>
  <c r="F30" i="19"/>
  <c r="L30" i="19" s="1"/>
  <c r="E30" i="19"/>
  <c r="K30" i="19" s="1"/>
  <c r="D30" i="19"/>
  <c r="L28" i="19"/>
  <c r="K28" i="19"/>
  <c r="J28" i="19"/>
  <c r="I28" i="19"/>
  <c r="L27" i="19"/>
  <c r="K27" i="19"/>
  <c r="J27" i="19"/>
  <c r="I27" i="19"/>
  <c r="L26" i="19"/>
  <c r="K26" i="19"/>
  <c r="J26" i="19"/>
  <c r="I26" i="19"/>
  <c r="L25" i="19"/>
  <c r="K25" i="19"/>
  <c r="J25" i="19"/>
  <c r="I25" i="19"/>
  <c r="L24" i="19"/>
  <c r="K24" i="19"/>
  <c r="J24" i="19"/>
  <c r="I24" i="19"/>
  <c r="M22" i="19"/>
  <c r="H22" i="19"/>
  <c r="G22" i="19"/>
  <c r="F22" i="19"/>
  <c r="E22" i="19"/>
  <c r="D22" i="19"/>
  <c r="L20" i="19"/>
  <c r="K20" i="19"/>
  <c r="J20" i="19"/>
  <c r="I20" i="19"/>
  <c r="L19" i="19"/>
  <c r="K19" i="19"/>
  <c r="J19" i="19"/>
  <c r="I19" i="19"/>
  <c r="L18" i="19"/>
  <c r="K18" i="19"/>
  <c r="J18" i="19"/>
  <c r="I18" i="19"/>
  <c r="L17" i="19"/>
  <c r="K17" i="19"/>
  <c r="J17" i="19"/>
  <c r="I17" i="19"/>
  <c r="L16" i="19"/>
  <c r="K16" i="19"/>
  <c r="J16" i="19"/>
  <c r="I16" i="19"/>
  <c r="M14" i="19"/>
  <c r="H14" i="19"/>
  <c r="G14" i="19"/>
  <c r="F14" i="19"/>
  <c r="E14" i="19"/>
  <c r="D14" i="19"/>
  <c r="L12" i="19"/>
  <c r="K12" i="19"/>
  <c r="J12" i="19"/>
  <c r="I12" i="19"/>
  <c r="L11" i="19"/>
  <c r="K11" i="19"/>
  <c r="J11" i="19"/>
  <c r="I11" i="19"/>
  <c r="L10" i="19"/>
  <c r="K10" i="19"/>
  <c r="J10" i="19"/>
  <c r="I10" i="19"/>
  <c r="L9" i="19"/>
  <c r="K9" i="19"/>
  <c r="J9" i="19"/>
  <c r="I9" i="19"/>
  <c r="C10" i="19"/>
  <c r="C11" i="19" s="1"/>
  <c r="C12" i="19" s="1"/>
  <c r="L8" i="19"/>
  <c r="K8" i="19"/>
  <c r="J8" i="19"/>
  <c r="I8" i="19"/>
  <c r="L36" i="18"/>
  <c r="K36" i="18"/>
  <c r="J36" i="18"/>
  <c r="I36" i="18"/>
  <c r="L35" i="18"/>
  <c r="K35" i="18"/>
  <c r="J35" i="18"/>
  <c r="I35" i="18"/>
  <c r="L34" i="18"/>
  <c r="K34" i="18"/>
  <c r="J34" i="18"/>
  <c r="I34" i="18"/>
  <c r="L33" i="18"/>
  <c r="K33" i="18"/>
  <c r="J33" i="18"/>
  <c r="I33" i="18"/>
  <c r="L32" i="18"/>
  <c r="K32" i="18"/>
  <c r="J32" i="18"/>
  <c r="I32" i="18"/>
  <c r="I38" i="18" s="1"/>
  <c r="M30" i="18"/>
  <c r="H30" i="18"/>
  <c r="G30" i="18"/>
  <c r="F30" i="18"/>
  <c r="L30" i="18" s="1"/>
  <c r="E30" i="18"/>
  <c r="K30" i="18" s="1"/>
  <c r="D30" i="18"/>
  <c r="L28" i="18"/>
  <c r="K28" i="18"/>
  <c r="J28" i="18"/>
  <c r="I28" i="18"/>
  <c r="L27" i="18"/>
  <c r="K27" i="18"/>
  <c r="J27" i="18"/>
  <c r="I27" i="18"/>
  <c r="L26" i="18"/>
  <c r="K26" i="18"/>
  <c r="J26" i="18"/>
  <c r="I26" i="18"/>
  <c r="L25" i="18"/>
  <c r="K25" i="18"/>
  <c r="J25" i="18"/>
  <c r="I25" i="18"/>
  <c r="L24" i="18"/>
  <c r="K24" i="18"/>
  <c r="J24" i="18"/>
  <c r="I24" i="18"/>
  <c r="M22" i="18"/>
  <c r="H22" i="18"/>
  <c r="G22" i="18"/>
  <c r="F22" i="18"/>
  <c r="L22" i="18" s="1"/>
  <c r="E22" i="18"/>
  <c r="K22" i="18" s="1"/>
  <c r="D22" i="18"/>
  <c r="L20" i="18"/>
  <c r="K20" i="18"/>
  <c r="J20" i="18"/>
  <c r="I20" i="18"/>
  <c r="L19" i="18"/>
  <c r="K19" i="18"/>
  <c r="J19" i="18"/>
  <c r="I19" i="18"/>
  <c r="L18" i="18"/>
  <c r="K18" i="18"/>
  <c r="J18" i="18"/>
  <c r="I18" i="18"/>
  <c r="L17" i="18"/>
  <c r="K17" i="18"/>
  <c r="J17" i="18"/>
  <c r="I17" i="18"/>
  <c r="L16" i="18"/>
  <c r="K16" i="18"/>
  <c r="J16" i="18"/>
  <c r="I16" i="18"/>
  <c r="M14" i="18"/>
  <c r="H14" i="18"/>
  <c r="G14" i="18"/>
  <c r="F14" i="18"/>
  <c r="E14" i="18"/>
  <c r="D14" i="18"/>
  <c r="L12" i="18"/>
  <c r="K12" i="18"/>
  <c r="J12" i="18"/>
  <c r="I12" i="18"/>
  <c r="L11" i="18"/>
  <c r="K11" i="18"/>
  <c r="J11" i="18"/>
  <c r="I11" i="18"/>
  <c r="L10" i="18"/>
  <c r="K10" i="18"/>
  <c r="J10" i="18"/>
  <c r="I10" i="18"/>
  <c r="L9" i="18"/>
  <c r="K9" i="18"/>
  <c r="J9" i="18"/>
  <c r="I9" i="18"/>
  <c r="C10" i="18"/>
  <c r="C11" i="18" s="1"/>
  <c r="C12" i="18" s="1"/>
  <c r="L8" i="18"/>
  <c r="K8" i="18"/>
  <c r="J8" i="18"/>
  <c r="I8" i="18"/>
  <c r="C12" i="1"/>
  <c r="C16" i="1" s="1"/>
  <c r="C17" i="1" s="1"/>
  <c r="C18" i="1" s="1"/>
  <c r="C19" i="1" s="1"/>
  <c r="C20" i="1" s="1"/>
  <c r="C24" i="1" s="1"/>
  <c r="C25" i="1" s="1"/>
  <c r="C26" i="1" s="1"/>
  <c r="C27" i="1" s="1"/>
  <c r="C28" i="1" s="1"/>
  <c r="C32" i="1" s="1"/>
  <c r="C33" i="1" s="1"/>
  <c r="C34" i="1" s="1"/>
  <c r="C35" i="1" s="1"/>
  <c r="C36" i="1" s="1"/>
  <c r="L34" i="17"/>
  <c r="K34" i="17"/>
  <c r="J34" i="17"/>
  <c r="I34" i="17"/>
  <c r="L33" i="17"/>
  <c r="K33" i="17"/>
  <c r="J33" i="17"/>
  <c r="I33" i="17"/>
  <c r="L32" i="17"/>
  <c r="K32" i="17"/>
  <c r="J32" i="17"/>
  <c r="I32" i="17"/>
  <c r="M30" i="17"/>
  <c r="H30" i="17"/>
  <c r="G30" i="17"/>
  <c r="F30" i="17"/>
  <c r="L30" i="17" s="1"/>
  <c r="E30" i="17"/>
  <c r="D30" i="17"/>
  <c r="L28" i="17"/>
  <c r="K28" i="17"/>
  <c r="J28" i="17"/>
  <c r="I28" i="17"/>
  <c r="L27" i="17"/>
  <c r="K27" i="17"/>
  <c r="J27" i="17"/>
  <c r="I27" i="17"/>
  <c r="L26" i="17"/>
  <c r="K26" i="17"/>
  <c r="J26" i="17"/>
  <c r="I26" i="17"/>
  <c r="L25" i="17"/>
  <c r="K25" i="17"/>
  <c r="J25" i="17"/>
  <c r="I25" i="17"/>
  <c r="L24" i="17"/>
  <c r="K24" i="17"/>
  <c r="J24" i="17"/>
  <c r="I24" i="17"/>
  <c r="M22" i="17"/>
  <c r="H22" i="17"/>
  <c r="G22" i="17"/>
  <c r="F22" i="17"/>
  <c r="L22" i="17" s="1"/>
  <c r="E22" i="17"/>
  <c r="K22" i="17" s="1"/>
  <c r="D22" i="17"/>
  <c r="L20" i="17"/>
  <c r="K20" i="17"/>
  <c r="J20" i="17"/>
  <c r="I20" i="17"/>
  <c r="L19" i="17"/>
  <c r="K19" i="17"/>
  <c r="J19" i="17"/>
  <c r="I19" i="17"/>
  <c r="L18" i="17"/>
  <c r="K18" i="17"/>
  <c r="J18" i="17"/>
  <c r="I18" i="17"/>
  <c r="L17" i="17"/>
  <c r="K17" i="17"/>
  <c r="J17" i="17"/>
  <c r="I17" i="17"/>
  <c r="L16" i="17"/>
  <c r="K16" i="17"/>
  <c r="J16" i="17"/>
  <c r="I16" i="17"/>
  <c r="M14" i="17"/>
  <c r="H14" i="17"/>
  <c r="G14" i="17"/>
  <c r="F14" i="17"/>
  <c r="E14" i="17"/>
  <c r="D14" i="17"/>
  <c r="L12" i="17"/>
  <c r="K12" i="17"/>
  <c r="J12" i="17"/>
  <c r="I12" i="17"/>
  <c r="L11" i="17"/>
  <c r="K11" i="17"/>
  <c r="J11" i="17"/>
  <c r="I11" i="17"/>
  <c r="L10" i="17"/>
  <c r="K10" i="17"/>
  <c r="J10" i="17"/>
  <c r="I10" i="17"/>
  <c r="L9" i="17"/>
  <c r="K9" i="17"/>
  <c r="J9" i="17"/>
  <c r="I9" i="17"/>
  <c r="C9" i="17"/>
  <c r="C10" i="17" s="1"/>
  <c r="C11" i="17" s="1"/>
  <c r="C12" i="17" s="1"/>
  <c r="L8" i="17"/>
  <c r="K8" i="17"/>
  <c r="J8" i="17"/>
  <c r="I8" i="17"/>
  <c r="M38" i="16"/>
  <c r="H38" i="16"/>
  <c r="G38" i="16"/>
  <c r="F38" i="16"/>
  <c r="E38" i="16"/>
  <c r="D38" i="16"/>
  <c r="L34" i="16"/>
  <c r="K34" i="16"/>
  <c r="J34" i="16"/>
  <c r="I34" i="16"/>
  <c r="L33" i="16"/>
  <c r="K33" i="16"/>
  <c r="J33" i="16"/>
  <c r="I33" i="16"/>
  <c r="L32" i="16"/>
  <c r="K32" i="16"/>
  <c r="J32" i="16"/>
  <c r="I32" i="16"/>
  <c r="M30" i="16"/>
  <c r="H30" i="16"/>
  <c r="G30" i="16"/>
  <c r="F30" i="16"/>
  <c r="L30" i="16" s="1"/>
  <c r="E30" i="16"/>
  <c r="D30" i="16"/>
  <c r="L28" i="16"/>
  <c r="K28" i="16"/>
  <c r="J28" i="16"/>
  <c r="I28" i="16"/>
  <c r="L27" i="16"/>
  <c r="K27" i="16"/>
  <c r="J27" i="16"/>
  <c r="I27" i="16"/>
  <c r="L26" i="16"/>
  <c r="K26" i="16"/>
  <c r="J26" i="16"/>
  <c r="I26" i="16"/>
  <c r="L25" i="16"/>
  <c r="K25" i="16"/>
  <c r="J25" i="16"/>
  <c r="I25" i="16"/>
  <c r="L24" i="16"/>
  <c r="K24" i="16"/>
  <c r="J24" i="16"/>
  <c r="I24" i="16"/>
  <c r="M22" i="16"/>
  <c r="H22" i="16"/>
  <c r="G22" i="16"/>
  <c r="F22" i="16"/>
  <c r="L22" i="16" s="1"/>
  <c r="E22" i="16"/>
  <c r="K22" i="16" s="1"/>
  <c r="D22" i="16"/>
  <c r="L20" i="16"/>
  <c r="K20" i="16"/>
  <c r="J20" i="16"/>
  <c r="I20" i="16"/>
  <c r="L19" i="16"/>
  <c r="K19" i="16"/>
  <c r="J19" i="16"/>
  <c r="I19" i="16"/>
  <c r="L18" i="16"/>
  <c r="K18" i="16"/>
  <c r="J18" i="16"/>
  <c r="I18" i="16"/>
  <c r="L17" i="16"/>
  <c r="K17" i="16"/>
  <c r="J17" i="16"/>
  <c r="I17" i="16"/>
  <c r="L16" i="16"/>
  <c r="K16" i="16"/>
  <c r="J16" i="16"/>
  <c r="I16" i="16"/>
  <c r="M14" i="16"/>
  <c r="H14" i="16"/>
  <c r="G14" i="16"/>
  <c r="F14" i="16"/>
  <c r="L14" i="16" s="1"/>
  <c r="E14" i="16"/>
  <c r="K14" i="16" s="1"/>
  <c r="D14" i="16"/>
  <c r="L12" i="16"/>
  <c r="K12" i="16"/>
  <c r="J12" i="16"/>
  <c r="I12" i="16"/>
  <c r="L11" i="16"/>
  <c r="K11" i="16"/>
  <c r="J11" i="16"/>
  <c r="I11" i="16"/>
  <c r="L10" i="16"/>
  <c r="K10" i="16"/>
  <c r="J10" i="16"/>
  <c r="I10" i="16"/>
  <c r="L9" i="16"/>
  <c r="K9" i="16"/>
  <c r="J9" i="16"/>
  <c r="I9" i="16"/>
  <c r="C9" i="16"/>
  <c r="C10" i="16" s="1"/>
  <c r="L8" i="16"/>
  <c r="K8" i="16"/>
  <c r="I8" i="16"/>
  <c r="F42" i="22" l="1"/>
  <c r="D42" i="22"/>
  <c r="H42" i="22"/>
  <c r="G10" i="14" s="1"/>
  <c r="E42" i="22"/>
  <c r="D10" i="14" s="1"/>
  <c r="M42" i="22"/>
  <c r="D49" i="24"/>
  <c r="D12" i="14" s="1"/>
  <c r="K38" i="24"/>
  <c r="F49" i="24"/>
  <c r="F12" i="14" s="1"/>
  <c r="G49" i="24"/>
  <c r="G12" i="14" s="1"/>
  <c r="E49" i="24"/>
  <c r="C49" i="24"/>
  <c r="J22" i="24"/>
  <c r="K22" i="24"/>
  <c r="K30" i="24"/>
  <c r="J30" i="24"/>
  <c r="C11" i="16"/>
  <c r="C12" i="16" s="1"/>
  <c r="C16" i="16" s="1"/>
  <c r="C17" i="16" s="1"/>
  <c r="C18" i="16" s="1"/>
  <c r="C19" i="16" s="1"/>
  <c r="C20" i="16" s="1"/>
  <c r="C24" i="16" s="1"/>
  <c r="C25" i="16" s="1"/>
  <c r="C26" i="16" s="1"/>
  <c r="C27" i="16" s="1"/>
  <c r="C28" i="16" s="1"/>
  <c r="C32" i="16" s="1"/>
  <c r="C33" i="16" s="1"/>
  <c r="C34" i="16" s="1"/>
  <c r="C35" i="16" s="1"/>
  <c r="C36" i="16" s="1"/>
  <c r="C16" i="17"/>
  <c r="C17" i="17" s="1"/>
  <c r="C18" i="17" s="1"/>
  <c r="C19" i="17" s="1"/>
  <c r="C20" i="17" s="1"/>
  <c r="C24" i="17" s="1"/>
  <c r="C25" i="17" s="1"/>
  <c r="C26" i="17" s="1"/>
  <c r="C27" i="17" s="1"/>
  <c r="C28" i="17" s="1"/>
  <c r="C32" i="17" s="1"/>
  <c r="C33" i="17" s="1"/>
  <c r="C34" i="17" s="1"/>
  <c r="C35" i="17" s="1"/>
  <c r="C36" i="17" s="1"/>
  <c r="C16" i="18"/>
  <c r="C17" i="18" s="1"/>
  <c r="C18" i="18" s="1"/>
  <c r="C19" i="18" s="1"/>
  <c r="C20" i="18" s="1"/>
  <c r="C24" i="18" s="1"/>
  <c r="C25" i="18" s="1"/>
  <c r="C26" i="18" s="1"/>
  <c r="C27" i="18" s="1"/>
  <c r="C28" i="18" s="1"/>
  <c r="C32" i="18" s="1"/>
  <c r="C33" i="18" s="1"/>
  <c r="C34" i="18" s="1"/>
  <c r="C35" i="18" s="1"/>
  <c r="C36" i="18" s="1"/>
  <c r="C16" i="19"/>
  <c r="C17" i="19" s="1"/>
  <c r="C18" i="19" s="1"/>
  <c r="G48" i="20"/>
  <c r="H48" i="20"/>
  <c r="M40" i="16"/>
  <c r="F49" i="25"/>
  <c r="E13" i="14" s="1"/>
  <c r="E48" i="17"/>
  <c r="D5" i="14" s="1"/>
  <c r="G49" i="25"/>
  <c r="F48" i="17"/>
  <c r="D41" i="21"/>
  <c r="H49" i="25"/>
  <c r="G13" i="14" s="1"/>
  <c r="D48" i="17"/>
  <c r="C5" i="14" s="1"/>
  <c r="G48" i="17"/>
  <c r="K14" i="23"/>
  <c r="E48" i="23"/>
  <c r="D11" i="14" s="1"/>
  <c r="H48" i="17"/>
  <c r="G5" i="14" s="1"/>
  <c r="L14" i="23"/>
  <c r="L48" i="23" s="1"/>
  <c r="M48" i="17"/>
  <c r="D48" i="20"/>
  <c r="E48" i="20"/>
  <c r="J22" i="25"/>
  <c r="L22" i="19"/>
  <c r="I22" i="19"/>
  <c r="G40" i="19"/>
  <c r="F7" i="14" s="1"/>
  <c r="D41" i="26"/>
  <c r="G2" i="26" s="1"/>
  <c r="E41" i="26"/>
  <c r="D14" i="14" s="1"/>
  <c r="H41" i="26"/>
  <c r="L14" i="26"/>
  <c r="L41" i="26" s="1"/>
  <c r="F41" i="26"/>
  <c r="G41" i="26"/>
  <c r="F14" i="14" s="1"/>
  <c r="D48" i="23"/>
  <c r="I38" i="22"/>
  <c r="J14" i="21"/>
  <c r="E41" i="21"/>
  <c r="G41" i="21"/>
  <c r="H41" i="21"/>
  <c r="G9" i="14" s="1"/>
  <c r="F41" i="21"/>
  <c r="J38" i="21"/>
  <c r="I38" i="20"/>
  <c r="K14" i="18"/>
  <c r="K48" i="18" s="1"/>
  <c r="E48" i="18"/>
  <c r="D6" i="14" s="1"/>
  <c r="L14" i="18"/>
  <c r="L48" i="18" s="1"/>
  <c r="F48" i="18"/>
  <c r="G48" i="18"/>
  <c r="F6" i="14" s="1"/>
  <c r="D48" i="18"/>
  <c r="H48" i="18"/>
  <c r="I30" i="17"/>
  <c r="I38" i="17"/>
  <c r="I30" i="18"/>
  <c r="I30" i="23"/>
  <c r="I22" i="25"/>
  <c r="J30" i="17"/>
  <c r="J38" i="25"/>
  <c r="F10" i="14"/>
  <c r="I38" i="23"/>
  <c r="I30" i="26"/>
  <c r="F13" i="14"/>
  <c r="J22" i="19"/>
  <c r="L14" i="19"/>
  <c r="F40" i="19"/>
  <c r="L14" i="20"/>
  <c r="I22" i="16"/>
  <c r="D40" i="16"/>
  <c r="G2" i="16" s="1"/>
  <c r="M4" i="14" s="1"/>
  <c r="H40" i="16"/>
  <c r="G4" i="14" s="1"/>
  <c r="K14" i="17"/>
  <c r="L14" i="22"/>
  <c r="L42" i="22" s="1"/>
  <c r="J14" i="24"/>
  <c r="K14" i="21"/>
  <c r="K41" i="21" s="1"/>
  <c r="K38" i="21"/>
  <c r="K14" i="24"/>
  <c r="J22" i="26"/>
  <c r="F5" i="14"/>
  <c r="D40" i="19"/>
  <c r="H40" i="19"/>
  <c r="G7" i="14" s="1"/>
  <c r="J38" i="20"/>
  <c r="J14" i="23"/>
  <c r="K14" i="25"/>
  <c r="L14" i="17"/>
  <c r="L48" i="17" s="1"/>
  <c r="G40" i="16"/>
  <c r="K14" i="19"/>
  <c r="E40" i="19"/>
  <c r="K14" i="20"/>
  <c r="D8" i="14"/>
  <c r="M41" i="21"/>
  <c r="J14" i="22"/>
  <c r="J30" i="22"/>
  <c r="L14" i="25"/>
  <c r="J30" i="25"/>
  <c r="D13" i="14"/>
  <c r="J14" i="25"/>
  <c r="J49" i="25" s="1"/>
  <c r="I30" i="25"/>
  <c r="H30" i="24"/>
  <c r="I38" i="24"/>
  <c r="J38" i="24"/>
  <c r="I22" i="22"/>
  <c r="K38" i="20"/>
  <c r="K38" i="19"/>
  <c r="M40" i="19"/>
  <c r="I38" i="19"/>
  <c r="I22" i="18"/>
  <c r="J14" i="18"/>
  <c r="J22" i="17"/>
  <c r="I14" i="17"/>
  <c r="K38" i="16"/>
  <c r="E40" i="16"/>
  <c r="D4" i="14" s="1"/>
  <c r="L38" i="16"/>
  <c r="L40" i="16" s="1"/>
  <c r="F40" i="16"/>
  <c r="J30" i="16"/>
  <c r="K30" i="16"/>
  <c r="F4" i="14"/>
  <c r="I30" i="16"/>
  <c r="G11" i="14"/>
  <c r="J14" i="20"/>
  <c r="I14" i="19"/>
  <c r="J22" i="18"/>
  <c r="I22" i="21"/>
  <c r="I14" i="22"/>
  <c r="H14" i="24"/>
  <c r="H22" i="24"/>
  <c r="M48" i="18"/>
  <c r="J30" i="19"/>
  <c r="M48" i="20"/>
  <c r="G14" i="14"/>
  <c r="J22" i="16"/>
  <c r="I38" i="16"/>
  <c r="K30" i="17"/>
  <c r="K14" i="22"/>
  <c r="J38" i="22"/>
  <c r="I22" i="23"/>
  <c r="J38" i="23"/>
  <c r="K22" i="25"/>
  <c r="I38" i="25"/>
  <c r="G6" i="14"/>
  <c r="G8" i="14"/>
  <c r="I30" i="21"/>
  <c r="I38" i="21"/>
  <c r="I30" i="22"/>
  <c r="H38" i="24"/>
  <c r="K38" i="25"/>
  <c r="M41" i="26"/>
  <c r="I14" i="16"/>
  <c r="I30" i="19"/>
  <c r="F9" i="14"/>
  <c r="J22" i="23"/>
  <c r="M49" i="25"/>
  <c r="I22" i="26"/>
  <c r="L49" i="24"/>
  <c r="I22" i="17"/>
  <c r="I14" i="18"/>
  <c r="K22" i="19"/>
  <c r="I30" i="20"/>
  <c r="I14" i="23"/>
  <c r="M48" i="23"/>
  <c r="F11" i="14"/>
  <c r="I14" i="24"/>
  <c r="I14" i="25"/>
  <c r="J30" i="26"/>
  <c r="D9" i="14"/>
  <c r="L14" i="21"/>
  <c r="L41" i="21" s="1"/>
  <c r="I14" i="21"/>
  <c r="G2" i="21"/>
  <c r="J38" i="26"/>
  <c r="I38" i="26"/>
  <c r="E14" i="14"/>
  <c r="I14" i="26"/>
  <c r="K14" i="26"/>
  <c r="K38" i="26"/>
  <c r="J14" i="26"/>
  <c r="I22" i="24"/>
  <c r="I30" i="24"/>
  <c r="C26" i="23"/>
  <c r="C27" i="23" s="1"/>
  <c r="C28" i="23" s="1"/>
  <c r="C32" i="23" s="1"/>
  <c r="C33" i="23" s="1"/>
  <c r="C34" i="23" s="1"/>
  <c r="C35" i="23" s="1"/>
  <c r="C36" i="23" s="1"/>
  <c r="K22" i="23"/>
  <c r="J30" i="23"/>
  <c r="K30" i="22"/>
  <c r="J22" i="22"/>
  <c r="J22" i="21"/>
  <c r="J30" i="21"/>
  <c r="L22" i="20"/>
  <c r="F8" i="14"/>
  <c r="K22" i="20"/>
  <c r="I22" i="20"/>
  <c r="I48" i="20" s="1"/>
  <c r="J22" i="20"/>
  <c r="L30" i="20"/>
  <c r="J30" i="20"/>
  <c r="J14" i="19"/>
  <c r="J30" i="18"/>
  <c r="J14" i="17"/>
  <c r="J38" i="16"/>
  <c r="J14" i="16"/>
  <c r="I25" i="1"/>
  <c r="I20" i="1"/>
  <c r="I16" i="1"/>
  <c r="I17" i="1"/>
  <c r="I19" i="1"/>
  <c r="D14" i="1"/>
  <c r="I10" i="1"/>
  <c r="K10" i="1"/>
  <c r="L10" i="1"/>
  <c r="I11" i="1"/>
  <c r="J11" i="1"/>
  <c r="K11" i="1"/>
  <c r="L11" i="1"/>
  <c r="I12" i="1"/>
  <c r="J12" i="1"/>
  <c r="K12" i="1"/>
  <c r="L12" i="1"/>
  <c r="J42" i="22" l="1"/>
  <c r="K42" i="22"/>
  <c r="J10" i="14" s="1"/>
  <c r="I42" i="22"/>
  <c r="F2" i="22" s="1"/>
  <c r="G2" i="17"/>
  <c r="M5" i="14" s="1"/>
  <c r="I48" i="17"/>
  <c r="F2" i="17" s="1"/>
  <c r="K48" i="17"/>
  <c r="J5" i="14" s="1"/>
  <c r="J49" i="24"/>
  <c r="J12" i="14" s="1"/>
  <c r="H49" i="24"/>
  <c r="E2" i="24" s="1"/>
  <c r="I49" i="24"/>
  <c r="K49" i="24"/>
  <c r="K12" i="14" s="1"/>
  <c r="C19" i="19"/>
  <c r="C20" i="19" s="1"/>
  <c r="C24" i="19" s="1"/>
  <c r="C25" i="19" s="1"/>
  <c r="C26" i="19" s="1"/>
  <c r="C27" i="19" s="1"/>
  <c r="C28" i="19" s="1"/>
  <c r="C32" i="19" s="1"/>
  <c r="C33" i="19" s="1"/>
  <c r="C34" i="19" s="1"/>
  <c r="C35" i="19" s="1"/>
  <c r="C36" i="19" s="1"/>
  <c r="J48" i="20"/>
  <c r="K48" i="23"/>
  <c r="K48" i="20"/>
  <c r="I49" i="25"/>
  <c r="F2" i="25" s="1"/>
  <c r="J41" i="26"/>
  <c r="K49" i="25"/>
  <c r="L48" i="20"/>
  <c r="L49" i="25"/>
  <c r="K13" i="14" s="1"/>
  <c r="I48" i="23"/>
  <c r="L40" i="19"/>
  <c r="K7" i="14" s="1"/>
  <c r="J40" i="19"/>
  <c r="K41" i="26"/>
  <c r="J14" i="14" s="1"/>
  <c r="I41" i="26"/>
  <c r="I41" i="21"/>
  <c r="I2" i="21" s="1"/>
  <c r="K2" i="21" s="1"/>
  <c r="K1" i="21" s="1"/>
  <c r="J41" i="21"/>
  <c r="I48" i="18"/>
  <c r="F2" i="18" s="1"/>
  <c r="H6" i="14"/>
  <c r="J9" i="14"/>
  <c r="H9" i="14"/>
  <c r="I40" i="16"/>
  <c r="I2" i="16" s="1"/>
  <c r="O4" i="14" s="1"/>
  <c r="K40" i="16"/>
  <c r="J4" i="14" s="1"/>
  <c r="J13" i="14"/>
  <c r="K40" i="19"/>
  <c r="J7" i="14" s="1"/>
  <c r="K8" i="14"/>
  <c r="I40" i="19"/>
  <c r="F2" i="19" s="1"/>
  <c r="J6" i="14"/>
  <c r="H4" i="14"/>
  <c r="H13" i="14"/>
  <c r="H11" i="14"/>
  <c r="J11" i="14"/>
  <c r="H8" i="14"/>
  <c r="H5" i="14"/>
  <c r="C4" i="14"/>
  <c r="I4" i="14" s="1"/>
  <c r="H12" i="14"/>
  <c r="K5" i="14"/>
  <c r="E5" i="14"/>
  <c r="H10" i="14"/>
  <c r="K11" i="14"/>
  <c r="E11" i="14"/>
  <c r="D7" i="14"/>
  <c r="F2" i="24"/>
  <c r="M12" i="14" s="1"/>
  <c r="C12" i="14"/>
  <c r="I12" i="14" s="1"/>
  <c r="E12" i="14"/>
  <c r="G2" i="19"/>
  <c r="M7" i="14" s="1"/>
  <c r="C7" i="14"/>
  <c r="I7" i="14" s="1"/>
  <c r="G2" i="20"/>
  <c r="C8" i="14"/>
  <c r="I8" i="14" s="1"/>
  <c r="G2" i="25"/>
  <c r="M13" i="14" s="1"/>
  <c r="C13" i="14"/>
  <c r="I13" i="14" s="1"/>
  <c r="G2" i="22"/>
  <c r="M10" i="14" s="1"/>
  <c r="C10" i="14"/>
  <c r="I10" i="14" s="1"/>
  <c r="E7" i="14"/>
  <c r="K6" i="14"/>
  <c r="E6" i="14"/>
  <c r="K10" i="14"/>
  <c r="E10" i="14"/>
  <c r="G2" i="23"/>
  <c r="C11" i="14"/>
  <c r="I11" i="14" s="1"/>
  <c r="H7" i="14"/>
  <c r="E8" i="14"/>
  <c r="G2" i="18"/>
  <c r="M6" i="14" s="1"/>
  <c r="C6" i="14"/>
  <c r="I6" i="14" s="1"/>
  <c r="H14" i="14"/>
  <c r="I5" i="14"/>
  <c r="K4" i="14"/>
  <c r="E4" i="14"/>
  <c r="K9" i="14"/>
  <c r="E9" i="14"/>
  <c r="C9" i="14"/>
  <c r="I9" i="14" s="1"/>
  <c r="M9" i="14"/>
  <c r="I2" i="26"/>
  <c r="K14" i="14"/>
  <c r="C14" i="14"/>
  <c r="I14" i="14" s="1"/>
  <c r="J8" i="14"/>
  <c r="I18" i="1"/>
  <c r="I2" i="17" l="1"/>
  <c r="K2" i="17" s="1"/>
  <c r="K1" i="17" s="1"/>
  <c r="O9" i="14"/>
  <c r="H2" i="24"/>
  <c r="J2" i="24" s="1"/>
  <c r="J1" i="24" s="1"/>
  <c r="I2" i="19"/>
  <c r="K2" i="19" s="1"/>
  <c r="K1" i="19" s="1"/>
  <c r="I2" i="25"/>
  <c r="K2" i="25" s="1"/>
  <c r="K1" i="25" s="1"/>
  <c r="K2" i="16"/>
  <c r="K1" i="16" s="1"/>
  <c r="K2" i="26"/>
  <c r="K1" i="26" s="1"/>
  <c r="O14" i="14"/>
  <c r="I2" i="23"/>
  <c r="M11" i="14"/>
  <c r="I2" i="20"/>
  <c r="M8" i="14"/>
  <c r="I2" i="18"/>
  <c r="I2" i="22"/>
  <c r="N5" i="14"/>
  <c r="M14" i="14"/>
  <c r="N9" i="14"/>
  <c r="L36" i="1"/>
  <c r="K36" i="1"/>
  <c r="L35" i="1"/>
  <c r="K35" i="1"/>
  <c r="L34" i="1"/>
  <c r="K34" i="1"/>
  <c r="L33" i="1"/>
  <c r="K33" i="1"/>
  <c r="L32" i="1"/>
  <c r="K32" i="1"/>
  <c r="L28" i="1"/>
  <c r="K28" i="1"/>
  <c r="L27" i="1"/>
  <c r="K27" i="1"/>
  <c r="L26" i="1"/>
  <c r="K26" i="1"/>
  <c r="L25" i="1"/>
  <c r="K25" i="1"/>
  <c r="L24" i="1"/>
  <c r="K24" i="1"/>
  <c r="L20" i="1"/>
  <c r="K20" i="1"/>
  <c r="L19" i="1"/>
  <c r="K19" i="1"/>
  <c r="L18" i="1"/>
  <c r="K18" i="1"/>
  <c r="L17" i="1"/>
  <c r="K17" i="1"/>
  <c r="L16" i="1"/>
  <c r="K16" i="1"/>
  <c r="O5" i="14" l="1"/>
  <c r="O12" i="14"/>
  <c r="O7" i="14"/>
  <c r="O13" i="14"/>
  <c r="K2" i="22"/>
  <c r="K1" i="22" s="1"/>
  <c r="O10" i="14"/>
  <c r="K2" i="23"/>
  <c r="K1" i="23" s="1"/>
  <c r="O11" i="14"/>
  <c r="K2" i="18"/>
  <c r="K1" i="18" s="1"/>
  <c r="O6" i="14"/>
  <c r="K2" i="20"/>
  <c r="K1" i="20" s="1"/>
  <c r="O8" i="14"/>
  <c r="N14" i="14"/>
  <c r="M46" i="1"/>
  <c r="H46" i="1"/>
  <c r="G46" i="1"/>
  <c r="F46" i="1"/>
  <c r="L46" i="1" s="1"/>
  <c r="E46" i="1"/>
  <c r="D46" i="1"/>
  <c r="J36" i="1"/>
  <c r="I36" i="1"/>
  <c r="J35" i="1"/>
  <c r="I35" i="1"/>
  <c r="J34" i="1"/>
  <c r="I34" i="1"/>
  <c r="J33" i="1"/>
  <c r="I33" i="1"/>
  <c r="J32" i="1"/>
  <c r="I32" i="1"/>
  <c r="M30" i="1"/>
  <c r="H30" i="1"/>
  <c r="G30" i="1"/>
  <c r="F30" i="1"/>
  <c r="L30" i="1" s="1"/>
  <c r="E30" i="1"/>
  <c r="D30" i="1"/>
  <c r="J28" i="1"/>
  <c r="I28" i="1"/>
  <c r="J27" i="1"/>
  <c r="I27" i="1"/>
  <c r="J26" i="1"/>
  <c r="I26" i="1"/>
  <c r="J25" i="1"/>
  <c r="J24" i="1"/>
  <c r="I24" i="1"/>
  <c r="M22" i="1"/>
  <c r="H22" i="1"/>
  <c r="G22" i="1"/>
  <c r="F22" i="1"/>
  <c r="E22" i="1"/>
  <c r="D22" i="1"/>
  <c r="J20" i="1"/>
  <c r="J19" i="1"/>
  <c r="J18" i="1"/>
  <c r="J17" i="1"/>
  <c r="J16" i="1"/>
  <c r="I22" i="1"/>
  <c r="M14" i="1"/>
  <c r="H14" i="1"/>
  <c r="G14" i="1"/>
  <c r="F14" i="1"/>
  <c r="E14" i="1"/>
  <c r="D48" i="1" l="1"/>
  <c r="G2" i="1" s="1"/>
  <c r="F48" i="1"/>
  <c r="E3" i="14" s="1"/>
  <c r="E48" i="1"/>
  <c r="G48" i="1"/>
  <c r="H48" i="1"/>
  <c r="G3" i="14" s="1"/>
  <c r="K46" i="1"/>
  <c r="L14" i="1"/>
  <c r="J30" i="1"/>
  <c r="K30" i="1"/>
  <c r="K22" i="1"/>
  <c r="L22" i="1"/>
  <c r="K14" i="1"/>
  <c r="J22" i="1"/>
  <c r="J14" i="1"/>
  <c r="I46" i="1"/>
  <c r="M48" i="1"/>
  <c r="I14" i="1"/>
  <c r="D3" i="14"/>
  <c r="I30" i="1"/>
  <c r="F3" i="14"/>
  <c r="L48" i="1" l="1"/>
  <c r="K48" i="1"/>
  <c r="J3" i="14" s="1"/>
  <c r="I48" i="1"/>
  <c r="C3" i="14"/>
  <c r="I3" i="14" s="1"/>
  <c r="G15" i="14"/>
  <c r="H3" i="14"/>
  <c r="K3" i="14"/>
  <c r="E15" i="14"/>
  <c r="F2" i="1" l="1"/>
  <c r="I2" i="1" s="1"/>
  <c r="K15" i="14"/>
  <c r="C15" i="14"/>
  <c r="I15" i="14" s="1"/>
  <c r="H15" i="14"/>
  <c r="F15" i="14"/>
  <c r="D15" i="14"/>
  <c r="J15" i="14" l="1"/>
  <c r="M3" i="14"/>
  <c r="M15" i="14" s="1"/>
  <c r="N3" i="14"/>
  <c r="K2" i="1"/>
  <c r="K1" i="1" s="1"/>
  <c r="O3" i="14" l="1"/>
  <c r="O15" i="14" s="1"/>
</calcChain>
</file>

<file path=xl/sharedStrings.xml><?xml version="1.0" encoding="utf-8"?>
<sst xmlns="http://schemas.openxmlformats.org/spreadsheetml/2006/main" count="591" uniqueCount="45">
  <si>
    <t>Total Trades</t>
  </si>
  <si>
    <t>Ganancia o perdida del mes</t>
  </si>
  <si>
    <t>Comision</t>
  </si>
  <si>
    <t>Cant. Contratos</t>
  </si>
  <si>
    <t>Diligencie unicamente las celdas verdes</t>
  </si>
  <si>
    <t>Total</t>
  </si>
  <si>
    <t>Comisiones</t>
  </si>
  <si>
    <t>Resultado</t>
  </si>
  <si>
    <t>Balance inicial</t>
  </si>
  <si>
    <t>Fecha</t>
  </si>
  <si>
    <t>Puntos ganados</t>
  </si>
  <si>
    <t>Puntos perdidos</t>
  </si>
  <si>
    <t>#Ganados</t>
  </si>
  <si>
    <t>#Perdidos</t>
  </si>
  <si>
    <t>Total puntos</t>
  </si>
  <si>
    <t>% Gan/Per</t>
  </si>
  <si>
    <t>Promedio ganancia</t>
  </si>
  <si>
    <t>Promedio Perdida</t>
  </si>
  <si>
    <t>Total semana</t>
  </si>
  <si>
    <t>Total mes</t>
  </si>
  <si>
    <t>Notas y comentarios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</si>
  <si>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</si>
  <si>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</si>
  <si>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</si>
  <si>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</si>
  <si>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</si>
  <si>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</si>
  <si>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</si>
  <si>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</si>
  <si>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</si>
  <si>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</si>
  <si>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</si>
  <si>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</si>
  <si>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</si>
  <si>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 Año</t>
  </si>
  <si>
    <t>Lunes</t>
  </si>
  <si>
    <t>Martes</t>
  </si>
  <si>
    <t>Miércoles</t>
  </si>
  <si>
    <t>Jueves</t>
  </si>
  <si>
    <t>Viernes</t>
  </si>
  <si>
    <t>Contratos</t>
  </si>
  <si>
    <t>TOTALES</t>
  </si>
  <si>
    <t>Promedio pérdida</t>
  </si>
  <si>
    <t>Promedio Pérdida</t>
  </si>
  <si>
    <t>TOTALES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</si>
</sst>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/d/yy;@"/>
    <numFmt numFmtId="168" formatCode="mm/dd/yyyy"/>
    <numFmt numFmtId="169" formatCode="0.00_);[Red]\(0.00\)"/>
    <numFmt numFmtId="170" formatCode="d/mm/yyyy;@"/>
    <numFmt numFmtId="171" formatCode="dd/mm/yyyy;@"/>
    <numFmt numFmtId="172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rgb="FFFFFF00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2"/>
      <color theme="0"/>
      <name val="Calibri"/>
      <family val="2"/>
      <scheme val="minor"/>
    </font>
    <font>
      <b/>
      <sz val="10"/>
      <color theme="6" tint="0.39997558519241921"/>
      <name val="Times New Roman"/>
      <family val="1"/>
    </font>
    <font>
      <b/>
      <sz val="12"/>
      <color theme="6" tint="0.39997558519241921"/>
      <name val="Times New Roman"/>
      <family val="1"/>
    </font>
    <font>
      <b/>
      <sz val="22"/>
      <color theme="6" tint="-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69" fontId="9" fillId="5" borderId="6" xfId="0" applyNumberFormat="1" applyFont="1" applyFill="1" applyBorder="1" applyAlignment="1">
      <alignment horizontal="center" vertical="center"/>
    </xf>
    <xf numFmtId="9" fontId="9" fillId="5" borderId="6" xfId="2" applyFont="1" applyFill="1" applyBorder="1" applyAlignment="1">
      <alignment horizontal="center" vertical="center"/>
    </xf>
    <xf numFmtId="164" fontId="9" fillId="5" borderId="6" xfId="0" applyNumberFormat="1" applyFont="1" applyFill="1" applyBorder="1" applyAlignment="1">
      <alignment horizontal="center" vertical="center"/>
    </xf>
    <xf numFmtId="164" fontId="10" fillId="5" borderId="6" xfId="1" applyNumberFormat="1" applyFont="1" applyFill="1" applyBorder="1" applyAlignment="1">
      <alignment horizontal="center" vertical="center"/>
    </xf>
    <xf numFmtId="165" fontId="9" fillId="4" borderId="6" xfId="3" applyNumberFormat="1" applyFont="1" applyFill="1" applyBorder="1" applyAlignment="1">
      <alignment horizontal="center" vertical="center"/>
    </xf>
    <xf numFmtId="1" fontId="9" fillId="4" borderId="6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69" fontId="2" fillId="3" borderId="0" xfId="0" applyNumberFormat="1" applyFont="1" applyFill="1" applyAlignment="1">
      <alignment horizontal="center" vertical="center"/>
    </xf>
    <xf numFmtId="9" fontId="2" fillId="3" borderId="0" xfId="2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9" fontId="5" fillId="3" borderId="0" xfId="2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170" fontId="9" fillId="5" borderId="6" xfId="0" applyNumberFormat="1" applyFont="1" applyFill="1" applyBorder="1" applyAlignment="1">
      <alignment horizontal="center" vertical="center"/>
    </xf>
    <xf numFmtId="170" fontId="2" fillId="3" borderId="0" xfId="0" applyNumberFormat="1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171" fontId="9" fillId="5" borderId="6" xfId="0" applyNumberFormat="1" applyFont="1" applyFill="1" applyBorder="1" applyAlignment="1">
      <alignment horizontal="center" vertical="center"/>
    </xf>
    <xf numFmtId="171" fontId="2" fillId="3" borderId="0" xfId="0" applyNumberFormat="1" applyFont="1" applyFill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2" fontId="9" fillId="5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70" fontId="3" fillId="0" borderId="6" xfId="0" applyNumberFormat="1" applyFont="1" applyBorder="1" applyAlignment="1">
      <alignment horizontal="center" vertical="center"/>
    </xf>
    <xf numFmtId="1" fontId="3" fillId="4" borderId="6" xfId="0" applyNumberFormat="1" applyFont="1" applyFill="1" applyBorder="1" applyAlignment="1" applyProtection="1">
      <alignment horizontal="center" vertical="center"/>
      <protection locked="0"/>
    </xf>
    <xf numFmtId="2" fontId="3" fillId="4" borderId="6" xfId="0" applyNumberFormat="1" applyFont="1" applyFill="1" applyBorder="1" applyAlignment="1" applyProtection="1">
      <alignment horizontal="center" vertical="center"/>
      <protection locked="0"/>
    </xf>
    <xf numFmtId="169" fontId="4" fillId="2" borderId="6" xfId="0" applyNumberFormat="1" applyFont="1" applyFill="1" applyBorder="1" applyAlignment="1">
      <alignment horizontal="center" vertical="center"/>
    </xf>
    <xf numFmtId="9" fontId="4" fillId="2" borderId="6" xfId="2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169" fontId="3" fillId="0" borderId="6" xfId="1" applyNumberFormat="1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9" fontId="3" fillId="2" borderId="6" xfId="1" applyNumberFormat="1" applyFont="1" applyFill="1" applyBorder="1" applyAlignment="1">
      <alignment horizontal="center" vertical="center"/>
    </xf>
    <xf numFmtId="9" fontId="3" fillId="2" borderId="6" xfId="2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169" fontId="3" fillId="0" borderId="6" xfId="1" applyNumberFormat="1" applyFont="1" applyFill="1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169" fontId="7" fillId="0" borderId="6" xfId="0" applyNumberFormat="1" applyFont="1" applyBorder="1" applyAlignment="1">
      <alignment horizontal="center" vertical="center"/>
    </xf>
    <xf numFmtId="9" fontId="7" fillId="0" borderId="6" xfId="2" applyFont="1" applyFill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69" fontId="7" fillId="0" borderId="6" xfId="1" applyNumberFormat="1" applyFont="1" applyFill="1" applyBorder="1" applyAlignment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  <xf numFmtId="9" fontId="4" fillId="0" borderId="6" xfId="2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0" fontId="7" fillId="0" borderId="6" xfId="0" applyNumberFormat="1" applyFont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2" fontId="7" fillId="4" borderId="6" xfId="0" applyNumberFormat="1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 applyProtection="1">
      <alignment horizontal="center" vertical="center"/>
      <protection locked="0"/>
    </xf>
    <xf numFmtId="2" fontId="7" fillId="4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72" fontId="10" fillId="5" borderId="6" xfId="1" applyNumberFormat="1" applyFont="1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0" borderId="6" xfId="1" applyNumberFormat="1" applyFont="1" applyBorder="1" applyAlignment="1">
      <alignment horizontal="center" vertical="center"/>
    </xf>
    <xf numFmtId="172" fontId="10" fillId="6" borderId="6" xfId="1" applyNumberFormat="1" applyFont="1" applyFill="1" applyBorder="1" applyAlignment="1">
      <alignment horizontal="center" vertical="center"/>
    </xf>
    <xf numFmtId="164" fontId="10" fillId="4" borderId="6" xfId="1" applyNumberFormat="1" applyFont="1" applyFill="1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3" borderId="0" xfId="0" applyNumberFormat="1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169" fontId="12" fillId="3" borderId="0" xfId="0" applyNumberFormat="1" applyFont="1" applyFill="1" applyAlignment="1">
      <alignment horizontal="center" vertical="center"/>
    </xf>
    <xf numFmtId="9" fontId="12" fillId="3" borderId="0" xfId="2" applyFont="1" applyFill="1" applyBorder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2" fontId="12" fillId="3" borderId="0" xfId="0" applyNumberFormat="1" applyFont="1" applyFill="1" applyAlignment="1">
      <alignment horizontal="center" vertical="center"/>
    </xf>
    <xf numFmtId="172" fontId="12" fillId="3" borderId="0" xfId="0" applyNumberFormat="1" applyFont="1" applyFill="1" applyAlignment="1">
      <alignment horizontal="center" vertical="center" wrapText="1"/>
    </xf>
    <xf numFmtId="167" fontId="13" fillId="3" borderId="6" xfId="0" applyNumberFormat="1" applyFont="1" applyFill="1" applyBorder="1" applyAlignment="1">
      <alignment horizontal="center" vertical="center"/>
    </xf>
    <xf numFmtId="1" fontId="13" fillId="3" borderId="6" xfId="0" applyNumberFormat="1" applyFont="1" applyFill="1" applyBorder="1" applyAlignment="1">
      <alignment horizontal="center" vertical="center"/>
    </xf>
    <xf numFmtId="9" fontId="13" fillId="3" borderId="6" xfId="2" applyFont="1" applyFill="1" applyBorder="1" applyAlignment="1">
      <alignment horizontal="center" vertical="center"/>
    </xf>
    <xf numFmtId="2" fontId="13" fillId="3" borderId="6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9" fontId="5" fillId="0" borderId="0" xfId="2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9" fontId="2" fillId="3" borderId="0" xfId="2" applyFont="1" applyFill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68" fontId="9" fillId="6" borderId="6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9" fontId="9" fillId="5" borderId="10" xfId="0" applyNumberFormat="1" applyFont="1" applyFill="1" applyBorder="1" applyAlignment="1">
      <alignment horizontal="center" vertical="center"/>
    </xf>
    <xf numFmtId="169" fontId="9" fillId="5" borderId="11" xfId="0" applyNumberFormat="1" applyFont="1" applyFill="1" applyBorder="1" applyAlignment="1">
      <alignment horizontal="center" vertical="center"/>
    </xf>
    <xf numFmtId="169" fontId="9" fillId="5" borderId="12" xfId="0" applyNumberFormat="1" applyFont="1" applyFill="1" applyBorder="1" applyAlignment="1">
      <alignment horizontal="center" vertical="center"/>
    </xf>
    <xf numFmtId="168" fontId="9" fillId="6" borderId="13" xfId="0" applyNumberFormat="1" applyFont="1" applyFill="1" applyBorder="1" applyAlignment="1">
      <alignment horizontal="center" vertical="center"/>
    </xf>
    <xf numFmtId="168" fontId="9" fillId="6" borderId="14" xfId="0" applyNumberFormat="1" applyFont="1" applyFill="1" applyBorder="1" applyAlignment="1">
      <alignment horizontal="center" vertical="center"/>
    </xf>
    <xf numFmtId="168" fontId="9" fillId="6" borderId="15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8" fontId="14" fillId="0" borderId="6" xfId="0" applyNumberFormat="1" applyFont="1" applyBorder="1" applyAlignment="1">
      <alignment horizontal="center" vertic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Q48"/>
  <sheetViews>
    <sheetView topLeftCell="B1" zoomScale="70" zoomScaleNormal="70" workbookViewId="0">
      <pane ySplit="6" topLeftCell="A22" activePane="bottomLeft" state="frozen"/>
      <selection pane="bottomLeft" activeCell="J50" sqref="J50"/>
    </sheetView>
  </sheetViews>
  <sheetFormatPr baseColWidth="10" defaultColWidth="9.1796875" defaultRowHeight="13" x14ac:dyDescent="0.35"/>
  <cols>
    <col min="1" max="1" width="3" style="1" hidden="1" customWidth="1"/>
    <col min="2" max="2" width="9.453125" style="47" bestFit="1" customWidth="1"/>
    <col min="3" max="3" width="11.7265625" style="41" bestFit="1" customWidth="1"/>
    <col min="4" max="4" width="11.26953125" style="21" bestFit="1" customWidth="1"/>
   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I48*5*F3</f>
        <v>0</v>
      </c>
      <c r="G2" s="5">
        <f>-D48*D3*F3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42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48" t="s">
        <v>35</v>
      </c>
      <c r="C8" s="53"/>
      <c r="D8" s="59">
        <f t="shared" ref="D8:D12" si="0">+E8+F8</f>
        <v>0</v>
      </c>
      <c r="E8" s="59">
        <v>0</v>
      </c>
      <c r="F8" s="59">
        <v>0</v>
      </c>
      <c r="G8" s="60">
        <v>0</v>
      </c>
      <c r="H8" s="60">
        <v>0</v>
      </c>
      <c r="I8" s="61">
        <f t="shared" ref="I8:I9" si="1">G8-H8</f>
        <v>0</v>
      </c>
      <c r="J8" s="62">
        <f t="shared" ref="J8:J9" si="2">IF(SUM(E8:F8),E8/SUM(E8:F8), 0%)</f>
        <v>0</v>
      </c>
      <c r="K8" s="63">
        <f t="shared" ref="K8:K9" si="3">IF(E8&gt;0, G8/E8,0)</f>
        <v>0</v>
      </c>
      <c r="L8" s="63">
        <f t="shared" ref="L8:L9" si="4"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/>
      <c r="D9" s="59">
        <f t="shared" si="0"/>
        <v>0</v>
      </c>
      <c r="E9" s="59">
        <v>0</v>
      </c>
      <c r="F9" s="59">
        <v>0</v>
      </c>
      <c r="G9" s="60">
        <v>0</v>
      </c>
      <c r="H9" s="60">
        <v>0</v>
      </c>
      <c r="I9" s="61">
        <f t="shared" si="1"/>
        <v>0</v>
      </c>
      <c r="J9" s="62">
        <f t="shared" si="2"/>
        <v>0</v>
      </c>
      <c r="K9" s="63">
        <f t="shared" si="3"/>
        <v>0</v>
      </c>
      <c r="L9" s="63">
        <f t="shared" si="4"/>
        <v>0</v>
      </c>
      <c r="M9" s="51">
        <v>0</v>
      </c>
      <c r="O9" s="125"/>
    </row>
    <row r="10" spans="1:17" ht="15" customHeight="1" x14ac:dyDescent="0.35">
      <c r="B10" s="48" t="s">
        <v>37</v>
      </c>
      <c r="C10" s="53">
        <v>46022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51">
        <v>0</v>
      </c>
      <c r="O10" s="125"/>
    </row>
    <row r="11" spans="1:17" ht="15" customHeight="1" x14ac:dyDescent="0.35">
      <c r="B11" s="48" t="s">
        <v>38</v>
      </c>
      <c r="C11" s="53">
        <f>C10+1</f>
        <v>46023</v>
      </c>
      <c r="D11" s="59">
        <f t="shared" si="0"/>
        <v>0</v>
      </c>
      <c r="E11" s="59">
        <v>0</v>
      </c>
      <c r="F11" s="59">
        <v>0</v>
      </c>
      <c r="G11" s="60">
        <v>0</v>
      </c>
      <c r="H11" s="60">
        <v>0</v>
      </c>
      <c r="I11" s="64">
        <f>G11-H11</f>
        <v>0</v>
      </c>
      <c r="J11" s="65">
        <f>IF(SUM(E11:F11),E11/SUM(E11:F11), 0%)</f>
        <v>0</v>
      </c>
      <c r="K11" s="66">
        <f>IF(E11&gt;0, G11/E11,0)</f>
        <v>0</v>
      </c>
      <c r="L11" s="66">
        <f>IF(F11&gt;0,H11/F11,0)</f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53">
        <f>C11+1</f>
        <v>46024</v>
      </c>
      <c r="D12" s="59">
        <f t="shared" si="0"/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5">SUM(D8:D12)</f>
        <v>0</v>
      </c>
      <c r="E14" s="25">
        <f t="shared" si="5"/>
        <v>0</v>
      </c>
      <c r="F14" s="25">
        <f t="shared" si="5"/>
        <v>0</v>
      </c>
      <c r="G14" s="26">
        <f t="shared" si="5"/>
        <v>0</v>
      </c>
      <c r="H14" s="26">
        <f t="shared" si="5"/>
        <v>0</v>
      </c>
      <c r="I14" s="27">
        <f t="shared" si="5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69">
        <f>C12+3</f>
        <v>46027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46028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46029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46030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46031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6">SUM(D16:D20)</f>
        <v>0</v>
      </c>
      <c r="E22" s="25">
        <f t="shared" si="6"/>
        <v>0</v>
      </c>
      <c r="F22" s="25">
        <f t="shared" si="6"/>
        <v>0</v>
      </c>
      <c r="G22" s="26">
        <f t="shared" si="6"/>
        <v>0</v>
      </c>
      <c r="H22" s="26">
        <f t="shared" si="6"/>
        <v>0</v>
      </c>
      <c r="I22" s="27">
        <f t="shared" si="6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46034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46035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46036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46037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46038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7">SUM(D24:D28)</f>
        <v>0</v>
      </c>
      <c r="E30" s="25">
        <f t="shared" si="7"/>
        <v>0</v>
      </c>
      <c r="F30" s="25">
        <f t="shared" si="7"/>
        <v>0</v>
      </c>
      <c r="G30" s="26">
        <f t="shared" si="7"/>
        <v>0</v>
      </c>
      <c r="H30" s="26">
        <f t="shared" si="7"/>
        <v>0</v>
      </c>
      <c r="I30" s="27">
        <f t="shared" si="7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46041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46042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46043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>C34+1</f>
        <v>46044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>C35+1</f>
        <v>46045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8">SUM(D32:D36)</f>
        <v>0</v>
      </c>
      <c r="E38" s="25">
        <f t="shared" si="8"/>
        <v>0</v>
      </c>
      <c r="F38" s="25">
        <f t="shared" si="8"/>
        <v>0</v>
      </c>
      <c r="G38" s="26">
        <f t="shared" si="8"/>
        <v>0</v>
      </c>
      <c r="H38" s="26">
        <f t="shared" si="8"/>
        <v>0</v>
      </c>
      <c r="I38" s="27">
        <f t="shared" si="8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</row>
    <row r="39" spans="2:17" ht="13.5" thickBot="1" x14ac:dyDescent="0.4">
      <c r="G39" s="22"/>
      <c r="H39" s="22"/>
    </row>
    <row r="40" spans="2:17" x14ac:dyDescent="0.35">
      <c r="B40" s="48" t="s">
        <v>35</v>
      </c>
      <c r="C40" s="53">
        <f>C36+3</f>
        <v>46048</v>
      </c>
      <c r="D40" s="59">
        <v>0</v>
      </c>
      <c r="E40" s="59">
        <v>0</v>
      </c>
      <c r="F40" s="59">
        <v>0</v>
      </c>
      <c r="G40" s="60">
        <v>0</v>
      </c>
      <c r="H40" s="60">
        <v>0</v>
      </c>
      <c r="I40" s="61">
        <f>G40-H40</f>
        <v>0</v>
      </c>
      <c r="J40" s="62">
        <f>IF(SUM(E40:F40),E40/SUM(E40:F40), 0%)</f>
        <v>0</v>
      </c>
      <c r="K40" s="58">
        <f>IF(E40&gt;0, G40/E40,0)</f>
        <v>0</v>
      </c>
      <c r="L40" s="58">
        <f>IF(F40&gt;0,H40/F40,0)</f>
        <v>0</v>
      </c>
      <c r="O40" s="124"/>
    </row>
    <row r="41" spans="2:17" x14ac:dyDescent="0.35">
      <c r="B41" s="48" t="s">
        <v>36</v>
      </c>
      <c r="C41" s="53">
        <f>C40+1</f>
        <v>46049</v>
      </c>
      <c r="D41" s="59">
        <v>0</v>
      </c>
      <c r="E41" s="59">
        <v>0</v>
      </c>
      <c r="F41" s="59">
        <v>0</v>
      </c>
      <c r="G41" s="60">
        <v>0</v>
      </c>
      <c r="H41" s="60">
        <v>0</v>
      </c>
      <c r="I41" s="61">
        <f>G41-H41</f>
        <v>0</v>
      </c>
      <c r="J41" s="62">
        <f>IF(SUM(E41:F41),E41/SUM(E41:F41), 0%)</f>
        <v>0</v>
      </c>
      <c r="K41" s="63">
        <f>IF(E41&gt;0, G41/E41,0)</f>
        <v>0</v>
      </c>
      <c r="L41" s="63">
        <f>IF(F41&gt;0,H41/F41,0)</f>
        <v>0</v>
      </c>
      <c r="O41" s="125"/>
    </row>
    <row r="42" spans="2:17" x14ac:dyDescent="0.35">
      <c r="B42" s="48" t="s">
        <v>37</v>
      </c>
      <c r="C42" s="53">
        <f>C41+1</f>
        <v>46050</v>
      </c>
      <c r="D42" s="59">
        <v>0</v>
      </c>
      <c r="E42" s="59">
        <v>0</v>
      </c>
      <c r="F42" s="59">
        <v>0</v>
      </c>
      <c r="G42" s="60">
        <v>0</v>
      </c>
      <c r="H42" s="60">
        <v>0</v>
      </c>
      <c r="I42" s="61">
        <f>G42-H42</f>
        <v>0</v>
      </c>
      <c r="J42" s="62">
        <f>IF(SUM(E42:F42),E42/SUM(E42:F42), 0%)</f>
        <v>0</v>
      </c>
      <c r="K42" s="63">
        <f>IF(E42&gt;0, G42/E42,0)</f>
        <v>0</v>
      </c>
      <c r="L42" s="63">
        <f>IF(F42&gt;0,H42/F42,0)</f>
        <v>0</v>
      </c>
      <c r="O42" s="125"/>
    </row>
    <row r="43" spans="2:17" x14ac:dyDescent="0.35">
      <c r="B43" s="48" t="s">
        <v>38</v>
      </c>
      <c r="C43" s="53">
        <f>C42+1</f>
        <v>46051</v>
      </c>
      <c r="D43" s="59">
        <v>0</v>
      </c>
      <c r="E43" s="59">
        <v>0</v>
      </c>
      <c r="F43" s="59">
        <v>0</v>
      </c>
      <c r="G43" s="60">
        <v>0</v>
      </c>
      <c r="H43" s="60">
        <v>0</v>
      </c>
      <c r="I43" s="61">
        <f>G43-H43</f>
        <v>0</v>
      </c>
      <c r="J43" s="62">
        <f>IF(SUM(E43:F43),E43/SUM(E43:F43), 0%)</f>
        <v>0</v>
      </c>
      <c r="K43" s="63">
        <f>IF(E43&gt;0, G43/E43,0)</f>
        <v>0</v>
      </c>
      <c r="L43" s="63">
        <f>IF(F43&gt;0,H43/F43,0)</f>
        <v>0</v>
      </c>
      <c r="O43" s="125"/>
    </row>
    <row r="44" spans="2:17" ht="13.5" thickBot="1" x14ac:dyDescent="0.4">
      <c r="B44" s="48" t="s">
        <v>39</v>
      </c>
      <c r="C44" s="53">
        <f>C43+1</f>
        <v>46052</v>
      </c>
      <c r="D44" s="59">
        <v>0</v>
      </c>
      <c r="E44" s="59">
        <v>0</v>
      </c>
      <c r="F44" s="59">
        <v>0</v>
      </c>
      <c r="G44" s="60">
        <v>0</v>
      </c>
      <c r="H44" s="60">
        <v>0</v>
      </c>
      <c r="I44" s="61">
        <f>G44-H44</f>
        <v>0</v>
      </c>
      <c r="J44" s="62">
        <f>IF(SUM(E44:F44),E44/SUM(E44:F44), 0%)</f>
        <v>0</v>
      </c>
      <c r="K44" s="63">
        <f>IF(E44&gt;0, G44/E44,0)</f>
        <v>0</v>
      </c>
      <c r="L44" s="63">
        <f>IF(F44&gt;0,H44/F44,0)</f>
        <v>0</v>
      </c>
      <c r="O44" s="126"/>
    </row>
    <row r="45" spans="2:17" x14ac:dyDescent="0.35">
      <c r="G45" s="22"/>
      <c r="H45" s="22"/>
    </row>
    <row r="46" spans="2:17" x14ac:dyDescent="0.35">
      <c r="C46" s="42" t="s">
        <v>18</v>
      </c>
      <c r="D46" s="25">
        <f t="shared" ref="D46:I46" si="9">SUM(D32:D36)</f>
        <v>0</v>
      </c>
      <c r="E46" s="25">
        <f t="shared" si="9"/>
        <v>0</v>
      </c>
      <c r="F46" s="25">
        <f t="shared" si="9"/>
        <v>0</v>
      </c>
      <c r="G46" s="26">
        <f t="shared" si="9"/>
        <v>0</v>
      </c>
      <c r="H46" s="26">
        <f t="shared" si="9"/>
        <v>0</v>
      </c>
      <c r="I46" s="27">
        <f t="shared" si="9"/>
        <v>0</v>
      </c>
      <c r="J46" s="28">
        <f>IF(SUM(E46:F46),E46/SUM(E46:F46), 0%)</f>
        <v>0</v>
      </c>
      <c r="K46" s="26">
        <f>IF(E46&gt;0, G46/E46,0)</f>
        <v>0</v>
      </c>
      <c r="L46" s="26">
        <f>IF(F46&gt;0,H46/F46,0)</f>
        <v>0</v>
      </c>
      <c r="M46" s="29">
        <f>SUM(M32:M36)</f>
        <v>0</v>
      </c>
      <c r="N46" s="30"/>
      <c r="O46" s="31"/>
      <c r="P46" s="32"/>
      <c r="Q46" s="32"/>
    </row>
    <row r="48" spans="2:17" x14ac:dyDescent="0.35">
      <c r="C48" s="39" t="s">
        <v>19</v>
      </c>
      <c r="D48" s="10">
        <f>D14+D22+D46+D30</f>
        <v>0</v>
      </c>
      <c r="E48" s="10">
        <f t="shared" ref="E48:L48" si="10">E14+E22+E46+E30</f>
        <v>0</v>
      </c>
      <c r="F48" s="10">
        <f t="shared" si="10"/>
        <v>0</v>
      </c>
      <c r="G48" s="10">
        <f t="shared" si="10"/>
        <v>0</v>
      </c>
      <c r="H48" s="10">
        <f t="shared" si="10"/>
        <v>0</v>
      </c>
      <c r="I48" s="10">
        <f t="shared" si="10"/>
        <v>0</v>
      </c>
      <c r="J48" s="120">
        <f>J14+J22+J46+J30+J38</f>
        <v>0</v>
      </c>
      <c r="K48" s="10">
        <f t="shared" si="10"/>
        <v>0</v>
      </c>
      <c r="L48" s="10">
        <f t="shared" si="10"/>
        <v>0</v>
      </c>
      <c r="M48" s="13" t="e">
        <f>M14+M22+M30+M46+#REF!</f>
        <v>#REF!</v>
      </c>
      <c r="N48" s="36"/>
      <c r="O48" s="37"/>
    </row>
  </sheetData>
  <mergeCells count="8">
    <mergeCell ref="O40:O44"/>
    <mergeCell ref="C1:E1"/>
    <mergeCell ref="C2:E2"/>
    <mergeCell ref="O32:O36"/>
    <mergeCell ref="O8:O12"/>
    <mergeCell ref="O16:O20"/>
    <mergeCell ref="O24:O28"/>
    <mergeCell ref="H1:H3"/>
  </mergeCells>
  <pageMargins left="0.7" right="0.7" top="0.75" bottom="0.75" header="0.3" footer="0.3"/>
  <pageSetup orientation="portrait" r:id="rId1"/>
  <ignoredErrors>
    <ignoredError sqref="J11:J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Q40"/>
  <sheetViews>
    <sheetView topLeftCell="B1" zoomScale="80" zoomScaleNormal="80" workbookViewId="0">
      <pane ySplit="6" topLeftCell="A28" activePane="bottomLeft" state="frozen"/>
      <selection pane="bottomLeft" activeCell="J46" sqref="J46"/>
    </sheetView>
  </sheetViews>
  <sheetFormatPr baseColWidth="10" defaultColWidth="9.1796875" defaultRowHeight="13" x14ac:dyDescent="0.35"/>
  <cols>
    <col min="1" max="1" width="3" style="1" customWidth="1"/>
    <col min="2" max="2" width="9.453125" style="1" bestFit="1" customWidth="1"/>
    <col min="3" max="3" width="11.7265625" style="45" bestFit="1" customWidth="1"/>
    <col min="4" max="4" width="11.26953125" style="21" bestFit="1" customWidth="1"/>
    <col min="5" max="5" width="15.4531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30" t="s">
        <v>4</v>
      </c>
      <c r="D1" s="131"/>
      <c r="E1" s="13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33" t="s">
        <v>1</v>
      </c>
      <c r="D2" s="134"/>
      <c r="E2" s="135"/>
      <c r="F2" s="49">
        <f>I40*5*F3</f>
        <v>0</v>
      </c>
      <c r="G2" s="5">
        <f>-D40*D3*F3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43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44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3.5" thickBot="1" x14ac:dyDescent="0.4">
      <c r="G7" s="22"/>
      <c r="H7" s="22"/>
    </row>
    <row r="8" spans="1:17" x14ac:dyDescent="0.35">
      <c r="A8" s="1">
        <v>2</v>
      </c>
      <c r="B8" s="48" t="s">
        <v>35</v>
      </c>
      <c r="C8" s="69">
        <v>46055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1">
        <f>G8-H8</f>
        <v>0</v>
      </c>
      <c r="J8" s="62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69">
        <f>C8+1</f>
        <v>46056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33">
        <v>0</v>
      </c>
      <c r="O9" s="125"/>
      <c r="Q9" s="34"/>
    </row>
    <row r="10" spans="1:17" ht="15" customHeight="1" x14ac:dyDescent="0.35">
      <c r="B10" s="48" t="s">
        <v>37</v>
      </c>
      <c r="C10" s="69">
        <f>C9+1</f>
        <v>46057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33">
        <v>0</v>
      </c>
      <c r="O10" s="125"/>
    </row>
    <row r="11" spans="1:17" ht="15" customHeight="1" x14ac:dyDescent="0.35">
      <c r="B11" s="48" t="s">
        <v>38</v>
      </c>
      <c r="C11" s="69">
        <f>C10+1</f>
        <v>46058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1">
        <f>G11-H11</f>
        <v>0</v>
      </c>
      <c r="J11" s="62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33">
        <v>0</v>
      </c>
      <c r="O11" s="125"/>
    </row>
    <row r="12" spans="1:17" ht="15.75" customHeight="1" thickBot="1" x14ac:dyDescent="0.4">
      <c r="B12" s="48" t="s">
        <v>39</v>
      </c>
      <c r="C12" s="69">
        <f>C11+1</f>
        <v>46059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1">
        <f>G12-H12</f>
        <v>0</v>
      </c>
      <c r="J12" s="62">
        <f>IF(SUM(E12:F12),E12/SUM(E12:F12), 0%)</f>
        <v>0</v>
      </c>
      <c r="K12" s="63">
        <f>IF(E12&gt;0, G12/E12,0)</f>
        <v>0</v>
      </c>
      <c r="L12" s="63">
        <f>IF(F12&gt;0,H12/F12,0)</f>
        <v>0</v>
      </c>
      <c r="M12" s="35">
        <v>0</v>
      </c>
      <c r="O12" s="126"/>
    </row>
    <row r="13" spans="1:17" x14ac:dyDescent="0.35">
      <c r="G13" s="22"/>
      <c r="H13" s="22"/>
    </row>
    <row r="14" spans="1:17" x14ac:dyDescent="0.35">
      <c r="C14" s="46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3</v>
      </c>
      <c r="B16" s="48" t="s">
        <v>35</v>
      </c>
      <c r="C16" s="69">
        <f>C12+3</f>
        <v>46062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69">
        <f>C16+1</f>
        <v>46063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</row>
    <row r="18" spans="1:17" ht="15" customHeight="1" x14ac:dyDescent="0.35">
      <c r="B18" s="48" t="s">
        <v>37</v>
      </c>
      <c r="C18" s="69">
        <f>C17+1</f>
        <v>46064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69">
        <f>C18+1</f>
        <v>46065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69">
        <f>C19+1</f>
        <v>46066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6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4</v>
      </c>
      <c r="B24" s="48" t="s">
        <v>35</v>
      </c>
      <c r="C24" s="69">
        <f>C20+3</f>
        <v>46069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69">
        <f>C24+1</f>
        <v>46070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69">
        <f>C25+1</f>
        <v>46071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69">
        <f>C26+1</f>
        <v>46072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69">
        <f>C27+1</f>
        <v>46073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6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5</v>
      </c>
      <c r="B32" s="48" t="s">
        <v>35</v>
      </c>
      <c r="C32" s="69">
        <f>C28+3</f>
        <v>46076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69">
        <f>C32+1</f>
        <v>46077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69">
        <f>C33+1</f>
        <v>46078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69">
        <f>C34+1</f>
        <v>46079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69">
        <f>C35+1</f>
        <v>46080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6" t="s">
        <v>18</v>
      </c>
      <c r="D38" s="25">
        <f t="shared" ref="D38:I38" si="3">SUM(D32:D36)</f>
        <v>0</v>
      </c>
      <c r="E38" s="25">
        <f t="shared" si="3"/>
        <v>0</v>
      </c>
      <c r="F38" s="25">
        <f t="shared" si="3"/>
        <v>0</v>
      </c>
      <c r="G38" s="26">
        <f t="shared" si="3"/>
        <v>0</v>
      </c>
      <c r="H38" s="26">
        <f t="shared" si="3"/>
        <v>0</v>
      </c>
      <c r="I38" s="27">
        <f t="shared" si="3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5">
        <f>SUM(M32:M36)</f>
        <v>0</v>
      </c>
      <c r="N38" s="30"/>
      <c r="O38" s="31"/>
      <c r="P38" s="32"/>
      <c r="Q38" s="32"/>
    </row>
    <row r="40" spans="2:17" x14ac:dyDescent="0.35">
      <c r="C40" s="44" t="s">
        <v>19</v>
      </c>
      <c r="D40" s="10">
        <f>D14+D30+D22+D38</f>
        <v>0</v>
      </c>
      <c r="E40" s="10">
        <f t="shared" ref="E40:L40" si="4">E14+E30+E22+E38</f>
        <v>0</v>
      </c>
      <c r="F40" s="10">
        <f t="shared" si="4"/>
        <v>0</v>
      </c>
      <c r="G40" s="10">
        <f t="shared" si="4"/>
        <v>0</v>
      </c>
      <c r="H40" s="10">
        <f t="shared" si="4"/>
        <v>0</v>
      </c>
      <c r="I40" s="10">
        <f t="shared" si="4"/>
        <v>0</v>
      </c>
      <c r="J40" s="120">
        <f>J14+J30+J22+J38</f>
        <v>0</v>
      </c>
      <c r="K40" s="10">
        <f t="shared" si="4"/>
        <v>0</v>
      </c>
      <c r="L40" s="10">
        <f t="shared" si="4"/>
        <v>0</v>
      </c>
      <c r="M40" s="13" t="e">
        <f>#REF!+M14+M22+M30+M38</f>
        <v>#REF!</v>
      </c>
      <c r="N40" s="36"/>
      <c r="O40" s="37"/>
    </row>
  </sheetData>
  <mergeCells count="7">
    <mergeCell ref="O32:O36"/>
    <mergeCell ref="C1:E1"/>
    <mergeCell ref="C2:E2"/>
    <mergeCell ref="O8:O12"/>
    <mergeCell ref="O16:O20"/>
    <mergeCell ref="O24:O28"/>
    <mergeCell ref="H1:H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Q48"/>
  <sheetViews>
    <sheetView topLeftCell="B1" zoomScale="80" zoomScaleNormal="80" workbookViewId="0">
      <pane ySplit="6" topLeftCell="A31" activePane="bottomLeft" state="frozen"/>
      <selection pane="bottomLeft" activeCell="J51" sqref="J51"/>
    </sheetView>
  </sheetViews>
  <sheetFormatPr baseColWidth="10" defaultColWidth="9.1796875" defaultRowHeight="13" x14ac:dyDescent="0.35"/>
  <cols>
    <col min="1" max="1" width="3" style="1" customWidth="1"/>
    <col min="2" max="2" width="9.453125" style="1" bestFit="1" customWidth="1"/>
    <col min="3" max="3" width="11.7265625" style="45" bestFit="1" customWidth="1"/>
    <col min="4" max="4" width="11.26953125" style="21" bestFit="1" customWidth="1"/>
    <col min="5" max="5" width="15.5429687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30" t="s">
        <v>4</v>
      </c>
      <c r="D1" s="131"/>
      <c r="E1" s="13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33" t="s">
        <v>1</v>
      </c>
      <c r="D2" s="134"/>
      <c r="E2" s="135"/>
      <c r="F2" s="49">
        <f>I48*5*F3</f>
        <v>0</v>
      </c>
      <c r="G2" s="5">
        <f>-D48*D3*F3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43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44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3.5" thickBot="1" x14ac:dyDescent="0.4">
      <c r="G7" s="22"/>
      <c r="H7" s="22"/>
    </row>
    <row r="8" spans="1:17" x14ac:dyDescent="0.35">
      <c r="A8" s="1">
        <v>2</v>
      </c>
      <c r="B8" s="48" t="s">
        <v>35</v>
      </c>
      <c r="C8" s="69">
        <v>46083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1">
        <f>G8-H8</f>
        <v>0</v>
      </c>
      <c r="J8" s="62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69">
        <f>C8+1</f>
        <v>46084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33">
        <v>0</v>
      </c>
      <c r="O9" s="125"/>
      <c r="Q9" s="34"/>
    </row>
    <row r="10" spans="1:17" ht="15" customHeight="1" x14ac:dyDescent="0.35">
      <c r="B10" s="48" t="s">
        <v>37</v>
      </c>
      <c r="C10" s="69">
        <f>C9+1</f>
        <v>46085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33">
        <v>0</v>
      </c>
      <c r="O10" s="125"/>
    </row>
    <row r="11" spans="1:17" ht="15" customHeight="1" x14ac:dyDescent="0.35">
      <c r="B11" s="48" t="s">
        <v>38</v>
      </c>
      <c r="C11" s="69">
        <f>C10+1</f>
        <v>46086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1">
        <f>G11-H11</f>
        <v>0</v>
      </c>
      <c r="J11" s="62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33">
        <v>0</v>
      </c>
      <c r="O11" s="125"/>
    </row>
    <row r="12" spans="1:17" ht="15.75" customHeight="1" thickBot="1" x14ac:dyDescent="0.4">
      <c r="B12" s="48" t="s">
        <v>39</v>
      </c>
      <c r="C12" s="69">
        <f>C11+1</f>
        <v>46087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1">
        <f>G12-H12</f>
        <v>0</v>
      </c>
      <c r="J12" s="62">
        <f>IF(SUM(E12:F12),E12/SUM(E12:F12), 0%)</f>
        <v>0</v>
      </c>
      <c r="K12" s="63">
        <f>IF(E12&gt;0, G12/E12,0)</f>
        <v>0</v>
      </c>
      <c r="L12" s="63">
        <f>IF(F12&gt;0,H12/F12,0)</f>
        <v>0</v>
      </c>
      <c r="M12" s="35">
        <v>0</v>
      </c>
      <c r="O12" s="126"/>
    </row>
    <row r="13" spans="1:17" x14ac:dyDescent="0.35">
      <c r="G13" s="22"/>
      <c r="H13" s="22"/>
    </row>
    <row r="14" spans="1:17" x14ac:dyDescent="0.35">
      <c r="C14" s="46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3</v>
      </c>
      <c r="B16" s="48" t="s">
        <v>35</v>
      </c>
      <c r="C16" s="69">
        <f>C12+3</f>
        <v>46090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69">
        <f>C16+1</f>
        <v>46091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</row>
    <row r="18" spans="1:17" ht="15" customHeight="1" x14ac:dyDescent="0.35">
      <c r="B18" s="48" t="s">
        <v>37</v>
      </c>
      <c r="C18" s="69">
        <f>C17+1</f>
        <v>46092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69">
        <f>C18+1</f>
        <v>46093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69">
        <f>C19+1</f>
        <v>46094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6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4</v>
      </c>
      <c r="B24" s="48" t="s">
        <v>35</v>
      </c>
      <c r="C24" s="69">
        <f>C20+3</f>
        <v>46097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69">
        <f>C24+1</f>
        <v>46098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69">
        <f>C25+1</f>
        <v>46099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69">
        <f>C26+1</f>
        <v>46100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69">
        <f>C27+1</f>
        <v>46101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6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5</v>
      </c>
      <c r="B32" s="48" t="s">
        <v>35</v>
      </c>
      <c r="C32" s="69">
        <f>C28+3</f>
        <v>46104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1:17" ht="15" customHeight="1" x14ac:dyDescent="0.35">
      <c r="B33" s="48" t="s">
        <v>36</v>
      </c>
      <c r="C33" s="69">
        <f>C32+1</f>
        <v>46105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1:17" ht="15" customHeight="1" x14ac:dyDescent="0.35">
      <c r="B34" s="48" t="s">
        <v>37</v>
      </c>
      <c r="C34" s="69">
        <f>C33+1</f>
        <v>46106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1:17" ht="15" customHeight="1" x14ac:dyDescent="0.35">
      <c r="B35" s="48" t="s">
        <v>38</v>
      </c>
      <c r="C35" s="69">
        <f t="shared" ref="C35:C36" si="3">C34+1</f>
        <v>46107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 t="shared" ref="I35:I36" si="4">G35-H35</f>
        <v>0</v>
      </c>
      <c r="J35" s="62">
        <f t="shared" ref="J35:J36" si="5">IF(SUM(E35:F35),E35/SUM(E35:F35), 0%)</f>
        <v>0</v>
      </c>
      <c r="K35" s="63">
        <f t="shared" ref="K35:K36" si="6">IF(E35&gt;0, G35/E35,0)</f>
        <v>0</v>
      </c>
      <c r="L35" s="63">
        <f t="shared" ref="L35:L36" si="7">IF(F35&gt;0,H35/F35,0)</f>
        <v>0</v>
      </c>
      <c r="M35" s="33">
        <v>0</v>
      </c>
      <c r="O35" s="125"/>
    </row>
    <row r="36" spans="1:17" ht="15.75" customHeight="1" thickBot="1" x14ac:dyDescent="0.4">
      <c r="B36" s="48" t="s">
        <v>39</v>
      </c>
      <c r="C36" s="69">
        <f t="shared" si="3"/>
        <v>46108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 t="shared" si="4"/>
        <v>0</v>
      </c>
      <c r="J36" s="62">
        <f t="shared" si="5"/>
        <v>0</v>
      </c>
      <c r="K36" s="63">
        <f t="shared" si="6"/>
        <v>0</v>
      </c>
      <c r="L36" s="63">
        <f t="shared" si="7"/>
        <v>0</v>
      </c>
      <c r="M36" s="35">
        <v>0</v>
      </c>
      <c r="O36" s="126"/>
    </row>
    <row r="37" spans="1:17" x14ac:dyDescent="0.35">
      <c r="G37" s="22"/>
      <c r="H37" s="22"/>
    </row>
    <row r="38" spans="1:17" x14ac:dyDescent="0.35">
      <c r="C38" s="46" t="s">
        <v>18</v>
      </c>
      <c r="D38" s="25">
        <f t="shared" ref="D38:I38" si="8">SUM(D32:D36)</f>
        <v>0</v>
      </c>
      <c r="E38" s="25">
        <f t="shared" si="8"/>
        <v>0</v>
      </c>
      <c r="F38" s="25">
        <f t="shared" si="8"/>
        <v>0</v>
      </c>
      <c r="G38" s="26">
        <f t="shared" si="8"/>
        <v>0</v>
      </c>
      <c r="H38" s="26">
        <f t="shared" si="8"/>
        <v>0</v>
      </c>
      <c r="I38" s="27">
        <f t="shared" si="8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5">
        <f>SUM(M32:M36)</f>
        <v>0</v>
      </c>
      <c r="N38" s="30"/>
      <c r="O38" s="31"/>
      <c r="P38" s="32"/>
      <c r="Q38" s="32"/>
    </row>
    <row r="39" spans="1:17" ht="13.5" thickBot="1" x14ac:dyDescent="0.4"/>
    <row r="40" spans="1:17" x14ac:dyDescent="0.35">
      <c r="A40" s="1">
        <v>5</v>
      </c>
      <c r="B40" s="48" t="s">
        <v>35</v>
      </c>
      <c r="C40" s="69"/>
      <c r="D40" s="59">
        <v>0</v>
      </c>
      <c r="E40" s="59">
        <v>0</v>
      </c>
      <c r="F40" s="59">
        <v>0</v>
      </c>
      <c r="G40" s="60">
        <v>0</v>
      </c>
      <c r="H40" s="60">
        <v>0</v>
      </c>
      <c r="I40" s="61">
        <f>G40-H40</f>
        <v>0</v>
      </c>
      <c r="J40" s="62">
        <f>IF(SUM(E40:F40),E40/SUM(E40:F40), 0%)</f>
        <v>0</v>
      </c>
      <c r="K40" s="58">
        <f>IF(E40&gt;0, G40/E40,0)</f>
        <v>0</v>
      </c>
      <c r="L40" s="58">
        <f>IF(F40&gt;0,H40/F40,0)</f>
        <v>0</v>
      </c>
      <c r="M40" s="50">
        <v>0</v>
      </c>
      <c r="O40" s="124"/>
    </row>
    <row r="41" spans="1:17" ht="15" customHeight="1" x14ac:dyDescent="0.35">
      <c r="B41" s="48" t="s">
        <v>36</v>
      </c>
      <c r="C41" s="69"/>
      <c r="D41" s="59">
        <v>0</v>
      </c>
      <c r="E41" s="59">
        <v>0</v>
      </c>
      <c r="F41" s="59">
        <v>0</v>
      </c>
      <c r="G41" s="60">
        <v>0</v>
      </c>
      <c r="H41" s="60">
        <v>0</v>
      </c>
      <c r="I41" s="61">
        <f>G41-H41</f>
        <v>0</v>
      </c>
      <c r="J41" s="62">
        <f>IF(SUM(E41:F41),E41/SUM(E41:F41), 0%)</f>
        <v>0</v>
      </c>
      <c r="K41" s="63">
        <f>IF(E41&gt;0, G41/E41,0)</f>
        <v>0</v>
      </c>
      <c r="L41" s="63">
        <f>IF(F41&gt;0,H41/F41,0)</f>
        <v>0</v>
      </c>
      <c r="M41" s="33">
        <v>0</v>
      </c>
      <c r="O41" s="125"/>
    </row>
    <row r="42" spans="1:17" ht="15" customHeight="1" x14ac:dyDescent="0.35">
      <c r="B42" s="48" t="s">
        <v>37</v>
      </c>
      <c r="C42" s="69"/>
      <c r="D42" s="59">
        <v>0</v>
      </c>
      <c r="E42" s="59">
        <v>0</v>
      </c>
      <c r="F42" s="59">
        <v>0</v>
      </c>
      <c r="G42" s="60">
        <v>0</v>
      </c>
      <c r="H42" s="60">
        <v>0</v>
      </c>
      <c r="I42" s="61">
        <f>G42-H42</f>
        <v>0</v>
      </c>
      <c r="J42" s="62">
        <f>IF(SUM(E42:F42),E42/SUM(E42:F42), 0%)</f>
        <v>0</v>
      </c>
      <c r="K42" s="63">
        <f>IF(E42&gt;0, G42/E42,0)</f>
        <v>0</v>
      </c>
      <c r="L42" s="63">
        <f>IF(F42&gt;0,H42/F42,0)</f>
        <v>0</v>
      </c>
      <c r="M42" s="33">
        <v>0</v>
      </c>
      <c r="O42" s="125"/>
    </row>
    <row r="43" spans="1:17" ht="15" customHeight="1" x14ac:dyDescent="0.35">
      <c r="B43" s="48" t="s">
        <v>38</v>
      </c>
      <c r="C43" s="69"/>
      <c r="D43" s="59">
        <v>0</v>
      </c>
      <c r="E43" s="59">
        <v>0</v>
      </c>
      <c r="F43" s="59">
        <v>0</v>
      </c>
      <c r="G43" s="60">
        <v>0</v>
      </c>
      <c r="H43" s="60">
        <v>0</v>
      </c>
      <c r="I43" s="61">
        <f t="shared" ref="I43:I44" si="9">G43-H43</f>
        <v>0</v>
      </c>
      <c r="J43" s="62">
        <f t="shared" ref="J43:J44" si="10">IF(SUM(E43:F43),E43/SUM(E43:F43), 0%)</f>
        <v>0</v>
      </c>
      <c r="K43" s="63">
        <f t="shared" ref="K43:K44" si="11">IF(E43&gt;0, G43/E43,0)</f>
        <v>0</v>
      </c>
      <c r="L43" s="63">
        <f t="shared" ref="L43:L44" si="12">IF(F43&gt;0,H43/F43,0)</f>
        <v>0</v>
      </c>
      <c r="M43" s="33">
        <v>0</v>
      </c>
      <c r="O43" s="125"/>
    </row>
    <row r="44" spans="1:17" ht="15.75" customHeight="1" thickBot="1" x14ac:dyDescent="0.4">
      <c r="B44" s="48" t="s">
        <v>39</v>
      </c>
      <c r="C44" s="69"/>
      <c r="D44" s="59">
        <v>0</v>
      </c>
      <c r="E44" s="59">
        <v>0</v>
      </c>
      <c r="F44" s="59">
        <v>0</v>
      </c>
      <c r="G44" s="60">
        <v>0</v>
      </c>
      <c r="H44" s="60">
        <v>0</v>
      </c>
      <c r="I44" s="61">
        <f t="shared" si="9"/>
        <v>0</v>
      </c>
      <c r="J44" s="62">
        <f t="shared" si="10"/>
        <v>0</v>
      </c>
      <c r="K44" s="63">
        <f t="shared" si="11"/>
        <v>0</v>
      </c>
      <c r="L44" s="63">
        <f t="shared" si="12"/>
        <v>0</v>
      </c>
      <c r="M44" s="35">
        <v>0</v>
      </c>
      <c r="O44" s="126"/>
    </row>
    <row r="45" spans="1:17" x14ac:dyDescent="0.35">
      <c r="G45" s="22"/>
      <c r="H45" s="22"/>
    </row>
    <row r="46" spans="1:17" x14ac:dyDescent="0.35">
      <c r="C46" s="46" t="s">
        <v>18</v>
      </c>
      <c r="D46" s="25">
        <f>SUM(D40:D44)</f>
        <v>0</v>
      </c>
      <c r="E46" s="25">
        <f>SUM(E40:E44)</f>
        <v>0</v>
      </c>
      <c r="F46" s="25">
        <f>SUM(F40:F44)</f>
        <v>0</v>
      </c>
      <c r="G46" s="26">
        <f>SUM(G40:G44)</f>
        <v>0</v>
      </c>
      <c r="H46" s="26">
        <f>SUM(H40:H44)</f>
        <v>0</v>
      </c>
      <c r="I46" s="27">
        <f>SUM(I40:I44)</f>
        <v>0</v>
      </c>
      <c r="J46" s="28">
        <f>IF(SUM(E46:F46),E46/SUM(E46:F46), 0%)</f>
        <v>0</v>
      </c>
      <c r="K46" s="26">
        <f>IF(E46&gt;0, G46/E46,0)</f>
        <v>0</v>
      </c>
      <c r="L46" s="26">
        <f>IF(F46&gt;0,H46/F46,0)</f>
        <v>0</v>
      </c>
      <c r="M46" s="25">
        <f>SUM(M40:M44)</f>
        <v>0</v>
      </c>
      <c r="N46" s="30"/>
      <c r="O46" s="31"/>
      <c r="P46" s="32"/>
      <c r="Q46" s="32"/>
    </row>
    <row r="47" spans="1:17" x14ac:dyDescent="0.35">
      <c r="C47" s="112"/>
      <c r="D47" s="113"/>
      <c r="E47" s="113"/>
      <c r="F47" s="113"/>
      <c r="G47" s="114"/>
      <c r="H47" s="114"/>
      <c r="I47" s="115"/>
      <c r="J47" s="116"/>
      <c r="K47" s="114"/>
      <c r="L47" s="114"/>
      <c r="M47" s="113"/>
      <c r="N47" s="117"/>
      <c r="O47" s="118"/>
      <c r="P47" s="119"/>
      <c r="Q47" s="119"/>
    </row>
    <row r="48" spans="1:17" x14ac:dyDescent="0.35">
      <c r="C48" s="44" t="s">
        <v>19</v>
      </c>
      <c r="D48" s="10">
        <f>D14+D30+D22+D38+D46</f>
        <v>0</v>
      </c>
      <c r="E48" s="10">
        <f>E14+E30+E22+E38+E46</f>
        <v>0</v>
      </c>
      <c r="F48" s="10">
        <f>F14+F30+F22+F38+F46</f>
        <v>0</v>
      </c>
      <c r="G48" s="10">
        <f>G14+G30+G22+G38+G46</f>
        <v>0</v>
      </c>
      <c r="H48" s="10">
        <f>H14+H30+H22+H38+H46</f>
        <v>0</v>
      </c>
      <c r="I48" s="10">
        <f>I14+I30+I22+I38+I46</f>
        <v>0</v>
      </c>
      <c r="J48" s="120">
        <f>J14+J30+J22+J38+J46</f>
        <v>0</v>
      </c>
      <c r="K48" s="10">
        <f>K14+K30+K22+K38+K46</f>
        <v>0</v>
      </c>
      <c r="L48" s="10">
        <f>L14+L30+L22+L38+L46</f>
        <v>0</v>
      </c>
      <c r="M48" s="13" t="e">
        <f>#REF!+M14+M22+M30+M38</f>
        <v>#REF!</v>
      </c>
      <c r="N48" s="36"/>
      <c r="O48" s="37"/>
    </row>
  </sheetData>
  <mergeCells count="8">
    <mergeCell ref="O40:O44"/>
    <mergeCell ref="O32:O36"/>
    <mergeCell ref="C1:E1"/>
    <mergeCell ref="C2:E2"/>
    <mergeCell ref="O8:O12"/>
    <mergeCell ref="O16:O20"/>
    <mergeCell ref="O24:O28"/>
    <mergeCell ref="H1:H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Q48"/>
  <sheetViews>
    <sheetView topLeftCell="B1" zoomScale="80" zoomScaleNormal="80" workbookViewId="0">
      <pane ySplit="6" topLeftCell="A28" activePane="bottomLeft" state="frozen"/>
      <selection pane="bottomLeft" activeCell="C40" sqref="C40"/>
    </sheetView>
  </sheetViews>
  <sheetFormatPr baseColWidth="10" defaultColWidth="9.1796875" defaultRowHeight="13" x14ac:dyDescent="0.35"/>
  <cols>
    <col min="1" max="1" width="3" style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4531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I48*5*F3</f>
        <v>0</v>
      </c>
      <c r="G2" s="5">
        <f>-D48*D3*F3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48" t="s">
        <v>35</v>
      </c>
      <c r="C8" s="53">
        <v>46111</v>
      </c>
      <c r="D8" s="54">
        <v>0</v>
      </c>
      <c r="E8" s="54">
        <v>0</v>
      </c>
      <c r="F8" s="54">
        <v>0</v>
      </c>
      <c r="G8" s="55">
        <v>0</v>
      </c>
      <c r="H8" s="55">
        <v>0</v>
      </c>
      <c r="I8" s="56">
        <f>G8-H8</f>
        <v>0</v>
      </c>
      <c r="J8" s="57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>
        <f>C8+1</f>
        <v>46112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51">
        <v>0</v>
      </c>
      <c r="O9" s="125"/>
    </row>
    <row r="10" spans="1:17" ht="15" customHeight="1" x14ac:dyDescent="0.35">
      <c r="B10" s="48" t="s">
        <v>37</v>
      </c>
      <c r="C10" s="53">
        <f>C9+1</f>
        <v>46113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51">
        <v>0</v>
      </c>
      <c r="O10" s="125"/>
    </row>
    <row r="11" spans="1:17" ht="15" customHeight="1" x14ac:dyDescent="0.35">
      <c r="B11" s="48" t="s">
        <v>38</v>
      </c>
      <c r="C11" s="53">
        <f>C10+1</f>
        <v>46114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4">
        <f>G11-H11</f>
        <v>0</v>
      </c>
      <c r="J11" s="65">
        <f>IF(SUM(E11:F11),E11/SUM(E11:F11), 0%)</f>
        <v>0</v>
      </c>
      <c r="K11" s="66">
        <f>IF(E11&gt;0, G11/E11,0)</f>
        <v>0</v>
      </c>
      <c r="L11" s="66">
        <f>IF(F11&gt;0,H11/F11,0)</f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53">
        <f>C11+1</f>
        <v>46115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69">
        <f>C12+3</f>
        <v>46118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46119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46120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46121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46122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46125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46126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46127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46128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46129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46132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46133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46134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>C34+1</f>
        <v>46135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>C35+1</f>
        <v>46136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>SUM(D32:D36)</f>
        <v>0</v>
      </c>
      <c r="E38" s="25">
        <f>SUM(E32:E36)</f>
        <v>0</v>
      </c>
      <c r="F38" s="25">
        <f>SUM(F32:F36)</f>
        <v>0</v>
      </c>
      <c r="G38" s="26">
        <f>SUM(G32:G36)</f>
        <v>0</v>
      </c>
      <c r="H38" s="26">
        <f>SUM(H32:H36)</f>
        <v>0</v>
      </c>
      <c r="I38" s="27">
        <f>SUM(I32:I36)</f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</row>
    <row r="39" spans="2:17" ht="13.5" thickBot="1" x14ac:dyDescent="0.4">
      <c r="G39" s="22"/>
      <c r="H39" s="22"/>
    </row>
    <row r="40" spans="2:17" x14ac:dyDescent="0.35">
      <c r="B40" s="48" t="s">
        <v>35</v>
      </c>
      <c r="C40" s="53">
        <f>C36+3</f>
        <v>46139</v>
      </c>
      <c r="D40" s="59">
        <v>0</v>
      </c>
      <c r="E40" s="59">
        <v>0</v>
      </c>
      <c r="F40" s="59">
        <v>0</v>
      </c>
      <c r="G40" s="60">
        <v>0</v>
      </c>
      <c r="H40" s="60">
        <v>0</v>
      </c>
      <c r="I40" s="61">
        <f>G40-H40</f>
        <v>0</v>
      </c>
      <c r="J40" s="62">
        <f>IF(SUM(E40:F40),E40/SUM(E40:F40), 0%)</f>
        <v>0</v>
      </c>
      <c r="K40" s="58">
        <f>IF(E40&gt;0, G40/E40,0)</f>
        <v>0</v>
      </c>
      <c r="L40" s="58">
        <f>IF(F40&gt;0,H40/F40,0)</f>
        <v>0</v>
      </c>
      <c r="M40" s="50">
        <v>0</v>
      </c>
      <c r="O40" s="124"/>
    </row>
    <row r="41" spans="2:17" x14ac:dyDescent="0.35">
      <c r="B41" s="48" t="s">
        <v>36</v>
      </c>
      <c r="C41" s="53">
        <f>C40+1</f>
        <v>46140</v>
      </c>
      <c r="D41" s="59">
        <v>0</v>
      </c>
      <c r="E41" s="59">
        <v>0</v>
      </c>
      <c r="F41" s="59">
        <v>0</v>
      </c>
      <c r="G41" s="60">
        <v>0</v>
      </c>
      <c r="H41" s="60">
        <v>0</v>
      </c>
      <c r="I41" s="61">
        <f>G41-H41</f>
        <v>0</v>
      </c>
      <c r="J41" s="62">
        <f>IF(SUM(E41:F41),E41/SUM(E41:F41), 0%)</f>
        <v>0</v>
      </c>
      <c r="K41" s="63">
        <f>IF(E41&gt;0, G41/E41,0)</f>
        <v>0</v>
      </c>
      <c r="L41" s="63">
        <f>IF(F41&gt;0,H41/F41,0)</f>
        <v>0</v>
      </c>
      <c r="M41" s="33">
        <v>0</v>
      </c>
      <c r="O41" s="125"/>
    </row>
    <row r="42" spans="2:17" x14ac:dyDescent="0.35">
      <c r="B42" s="48" t="s">
        <v>37</v>
      </c>
      <c r="C42" s="53">
        <f>C41+1</f>
        <v>46141</v>
      </c>
      <c r="D42" s="59">
        <v>0</v>
      </c>
      <c r="E42" s="59">
        <v>0</v>
      </c>
      <c r="F42" s="59">
        <v>0</v>
      </c>
      <c r="G42" s="60">
        <v>0</v>
      </c>
      <c r="H42" s="60">
        <v>0</v>
      </c>
      <c r="I42" s="61">
        <f>G42-H42</f>
        <v>0</v>
      </c>
      <c r="J42" s="62">
        <f>IF(SUM(E42:F42),E42/SUM(E42:F42), 0%)</f>
        <v>0</v>
      </c>
      <c r="K42" s="63">
        <f>IF(E42&gt;0, G42/E42,0)</f>
        <v>0</v>
      </c>
      <c r="L42" s="63">
        <f>IF(F42&gt;0,H42/F42,0)</f>
        <v>0</v>
      </c>
      <c r="M42" s="33">
        <v>0</v>
      </c>
      <c r="O42" s="125"/>
    </row>
    <row r="43" spans="2:17" x14ac:dyDescent="0.35">
      <c r="B43" s="48" t="s">
        <v>38</v>
      </c>
      <c r="C43" s="53">
        <f>C42+1</f>
        <v>46142</v>
      </c>
      <c r="D43" s="59">
        <v>0</v>
      </c>
      <c r="E43" s="59">
        <v>0</v>
      </c>
      <c r="F43" s="59">
        <v>0</v>
      </c>
      <c r="G43" s="60">
        <v>0</v>
      </c>
      <c r="H43" s="60">
        <v>0</v>
      </c>
      <c r="I43" s="61">
        <f>G43-H43</f>
        <v>0</v>
      </c>
      <c r="J43" s="62">
        <f>IF(SUM(E43:F43),E43/SUM(E43:F43), 0%)</f>
        <v>0</v>
      </c>
      <c r="K43" s="63">
        <f>IF(E43&gt;0, G43/E43,0)</f>
        <v>0</v>
      </c>
      <c r="L43" s="63">
        <f>IF(F43&gt;0,H43/F43,0)</f>
        <v>0</v>
      </c>
      <c r="M43" s="33">
        <v>0</v>
      </c>
      <c r="O43" s="125"/>
    </row>
    <row r="44" spans="2:17" ht="13.5" thickBot="1" x14ac:dyDescent="0.4">
      <c r="B44" s="48" t="s">
        <v>39</v>
      </c>
      <c r="C44" s="53">
        <f>C43+1</f>
        <v>46143</v>
      </c>
      <c r="D44" s="59">
        <v>0</v>
      </c>
      <c r="E44" s="59">
        <v>0</v>
      </c>
      <c r="F44" s="59">
        <v>0</v>
      </c>
      <c r="G44" s="60">
        <v>0</v>
      </c>
      <c r="H44" s="60">
        <v>0</v>
      </c>
      <c r="I44" s="61">
        <f>G44-H44</f>
        <v>0</v>
      </c>
      <c r="J44" s="62">
        <f>IF(SUM(E44:F44),E44/SUM(E44:F44), 0%)</f>
        <v>0</v>
      </c>
      <c r="K44" s="63">
        <f>IF(E44&gt;0, G44/E44,0)</f>
        <v>0</v>
      </c>
      <c r="L44" s="63">
        <f>IF(F44&gt;0,H44/F44,0)</f>
        <v>0</v>
      </c>
      <c r="M44" s="35">
        <v>0</v>
      </c>
      <c r="O44" s="126"/>
      <c r="P44" s="32"/>
      <c r="Q44" s="32"/>
    </row>
    <row r="45" spans="2:17" x14ac:dyDescent="0.35">
      <c r="G45" s="22"/>
      <c r="H45" s="22"/>
    </row>
    <row r="46" spans="2:17" x14ac:dyDescent="0.35">
      <c r="C46" s="42" t="s">
        <v>18</v>
      </c>
      <c r="D46" s="25">
        <f>SUM(D40:D44)</f>
        <v>0</v>
      </c>
      <c r="E46" s="25">
        <f>SUM(E40:E44)</f>
        <v>0</v>
      </c>
      <c r="F46" s="25">
        <f>SUM(F40:F44)</f>
        <v>0</v>
      </c>
      <c r="G46" s="26">
        <f>SUM(G40:G44)</f>
        <v>0</v>
      </c>
      <c r="H46" s="26">
        <f>SUM(H40:H44)</f>
        <v>0</v>
      </c>
      <c r="I46" s="27">
        <f>SUM(I40:I44)</f>
        <v>0</v>
      </c>
      <c r="J46" s="28">
        <f>IF(SUM(E46:F46),E46/SUM(E46:F46), 0%)</f>
        <v>0</v>
      </c>
      <c r="K46" s="26">
        <f>IF(E46&gt;0, G46/E46,0)</f>
        <v>0</v>
      </c>
      <c r="L46" s="26">
        <f>IF(F46&gt;0,H46/F46,0)</f>
        <v>0</v>
      </c>
      <c r="M46" s="29">
        <f>SUM(M40:M44)</f>
        <v>0</v>
      </c>
      <c r="N46" s="30"/>
      <c r="O46" s="31"/>
    </row>
    <row r="47" spans="2:17" x14ac:dyDescent="0.35"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spans="2:17" x14ac:dyDescent="0.35">
      <c r="C48" s="39" t="s">
        <v>19</v>
      </c>
      <c r="D48" s="10">
        <f>D14+D22+D38+D30</f>
        <v>0</v>
      </c>
      <c r="E48" s="10">
        <f>E14+E22+E38+E30</f>
        <v>0</v>
      </c>
      <c r="F48" s="10">
        <f>F14+F22+F38+F30</f>
        <v>0</v>
      </c>
      <c r="G48" s="10">
        <f>G14+G22+G38+G30</f>
        <v>0</v>
      </c>
      <c r="H48" s="10">
        <f>H14+H22+H38+H30</f>
        <v>0</v>
      </c>
      <c r="I48" s="10">
        <f>I14+I22+I38+I30</f>
        <v>0</v>
      </c>
      <c r="J48" s="120">
        <f>J14+J22+J38+J30+J46</f>
        <v>0</v>
      </c>
      <c r="K48" s="10">
        <f>K14+K22+K38+K30</f>
        <v>0</v>
      </c>
      <c r="L48" s="10">
        <f>L14+L22+L38+L30</f>
        <v>0</v>
      </c>
      <c r="M48" s="13" t="e">
        <f>M14+M22+M30+M38+#REF!</f>
        <v>#REF!</v>
      </c>
      <c r="N48" s="36"/>
      <c r="O48" s="37"/>
    </row>
  </sheetData>
  <mergeCells count="8">
    <mergeCell ref="O40:O44"/>
    <mergeCell ref="O32:O36"/>
    <mergeCell ref="H1:H3"/>
    <mergeCell ref="C1:E1"/>
    <mergeCell ref="C2:E2"/>
    <mergeCell ref="O8:O12"/>
    <mergeCell ref="O16:O20"/>
    <mergeCell ref="O24:O28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40"/>
  <sheetViews>
    <sheetView topLeftCell="B1" zoomScale="80" zoomScaleNormal="80" workbookViewId="0">
      <pane ySplit="6" topLeftCell="A19" activePane="bottomLeft" state="frozen"/>
      <selection pane="bottomLeft" activeCell="C9" sqref="C9"/>
    </sheetView>
  </sheetViews>
  <sheetFormatPr baseColWidth="10" defaultColWidth="9.1796875" defaultRowHeight="13" x14ac:dyDescent="0.35"/>
  <cols>
    <col min="1" max="1" width="3" style="1" hidden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816406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36" t="s">
        <v>4</v>
      </c>
      <c r="D1" s="136"/>
      <c r="E1" s="136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I40*5*F3</f>
        <v>0</v>
      </c>
      <c r="G2" s="5">
        <f>-D40*D3*F3</f>
        <v>0</v>
      </c>
      <c r="H2" s="128"/>
      <c r="I2" s="95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3.5" thickBot="1" x14ac:dyDescent="0.4">
      <c r="G7" s="22"/>
      <c r="H7" s="22"/>
    </row>
    <row r="8" spans="1:17" x14ac:dyDescent="0.35">
      <c r="A8" s="1">
        <v>2</v>
      </c>
      <c r="B8" s="48" t="s">
        <v>35</v>
      </c>
      <c r="C8" s="53">
        <v>46146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1">
        <f>G8-H8</f>
        <v>0</v>
      </c>
      <c r="J8" s="62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>
        <f>C8+1</f>
        <v>46147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33">
        <v>0</v>
      </c>
      <c r="O9" s="125"/>
      <c r="Q9" s="34"/>
    </row>
    <row r="10" spans="1:17" ht="15" customHeight="1" x14ac:dyDescent="0.35">
      <c r="B10" s="48" t="s">
        <v>37</v>
      </c>
      <c r="C10" s="53">
        <f>C9+1</f>
        <v>46148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33">
        <v>0</v>
      </c>
      <c r="O10" s="125"/>
    </row>
    <row r="11" spans="1:17" ht="15" customHeight="1" x14ac:dyDescent="0.35">
      <c r="B11" s="48" t="s">
        <v>38</v>
      </c>
      <c r="C11" s="53">
        <f>C10+1</f>
        <v>46149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1">
        <f>G11-H11</f>
        <v>0</v>
      </c>
      <c r="J11" s="62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33">
        <v>0</v>
      </c>
      <c r="O11" s="125"/>
    </row>
    <row r="12" spans="1:17" ht="15.75" customHeight="1" thickBot="1" x14ac:dyDescent="0.4">
      <c r="B12" s="48" t="s">
        <v>39</v>
      </c>
      <c r="C12" s="53">
        <f>C11+1</f>
        <v>46150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1">
        <f>G12-H12</f>
        <v>0</v>
      </c>
      <c r="J12" s="62">
        <f>IF(SUM(E12:F12),E12/SUM(E12:F12), 0%)</f>
        <v>0</v>
      </c>
      <c r="K12" s="63">
        <f>IF(E12&gt;0, G12/E12,0)</f>
        <v>0</v>
      </c>
      <c r="L12" s="63">
        <f>IF(F12&gt;0,H12/F12,0)</f>
        <v>0</v>
      </c>
      <c r="M12" s="35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3</v>
      </c>
      <c r="B16" s="48" t="s">
        <v>35</v>
      </c>
      <c r="C16" s="53">
        <f>C12+3</f>
        <v>46153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46154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</row>
    <row r="18" spans="1:17" ht="15" customHeight="1" x14ac:dyDescent="0.35">
      <c r="B18" s="48" t="s">
        <v>37</v>
      </c>
      <c r="C18" s="53">
        <f>C17+1</f>
        <v>46155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46156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46157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4</v>
      </c>
      <c r="B24" s="48" t="s">
        <v>35</v>
      </c>
      <c r="C24" s="53">
        <f>C20+3</f>
        <v>46160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46161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46162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46163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46164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5</v>
      </c>
      <c r="B32" s="48" t="s">
        <v>35</v>
      </c>
      <c r="C32" s="53">
        <f>C28+3</f>
        <v>46167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46168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7">
        <f>G33-H33</f>
        <v>0</v>
      </c>
      <c r="J33" s="68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46169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7">
        <f>G34-H34</f>
        <v>0</v>
      </c>
      <c r="J34" s="68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 t="shared" ref="C35:C36" si="3">C34+1</f>
        <v>46170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7">
        <f>G35-H35</f>
        <v>0</v>
      </c>
      <c r="J35" s="68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 t="shared" si="3"/>
        <v>46171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7">
        <f>G36-H36</f>
        <v>0</v>
      </c>
      <c r="J36" s="68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>SUM(D32:D36)</f>
        <v>0</v>
      </c>
      <c r="E38" s="25">
        <f>SUM(E32:E36)</f>
        <v>0</v>
      </c>
      <c r="F38" s="25">
        <f>SUM(F32:F36)</f>
        <v>0</v>
      </c>
      <c r="G38" s="26">
        <f t="shared" ref="G38:I38" si="4">SUM(G32:G36)</f>
        <v>0</v>
      </c>
      <c r="H38" s="26">
        <f t="shared" si="4"/>
        <v>0</v>
      </c>
      <c r="I38" s="27">
        <f t="shared" si="4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5">
        <f>SUM(M32:M36)</f>
        <v>0</v>
      </c>
      <c r="N38" s="30"/>
      <c r="O38" s="31"/>
      <c r="P38" s="32"/>
      <c r="Q38" s="32"/>
    </row>
    <row r="40" spans="2:17" x14ac:dyDescent="0.35">
      <c r="C40" s="39" t="s">
        <v>19</v>
      </c>
      <c r="D40" s="10">
        <f>D14+D30+D22+D38</f>
        <v>0</v>
      </c>
      <c r="E40" s="10">
        <f t="shared" ref="E40:L40" si="5">E14+E30+E22+E38</f>
        <v>0</v>
      </c>
      <c r="F40" s="10">
        <f t="shared" si="5"/>
        <v>0</v>
      </c>
      <c r="G40" s="10">
        <f t="shared" si="5"/>
        <v>0</v>
      </c>
      <c r="H40" s="10">
        <f t="shared" si="5"/>
        <v>0</v>
      </c>
      <c r="I40" s="10">
        <f t="shared" si="5"/>
        <v>0</v>
      </c>
      <c r="J40" s="120">
        <f t="shared" si="5"/>
        <v>0</v>
      </c>
      <c r="K40" s="10">
        <f t="shared" si="5"/>
        <v>0</v>
      </c>
      <c r="L40" s="10">
        <f t="shared" si="5"/>
        <v>0</v>
      </c>
      <c r="M40" s="13" t="e">
        <f>#REF!+M14+M22+M30+M38</f>
        <v>#REF!</v>
      </c>
      <c r="N40" s="36"/>
      <c r="O40" s="37"/>
    </row>
  </sheetData>
  <mergeCells count="7">
    <mergeCell ref="O32:O36"/>
    <mergeCell ref="C1:E1"/>
    <mergeCell ref="C2:E2"/>
    <mergeCell ref="O8:O12"/>
    <mergeCell ref="O16:O20"/>
    <mergeCell ref="O24:O28"/>
    <mergeCell ref="H1:H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48"/>
  <sheetViews>
    <sheetView zoomScale="80" zoomScaleNormal="80" workbookViewId="0">
      <pane ySplit="6" topLeftCell="A25" activePane="bottomLeft" state="frozen"/>
      <selection pane="bottomLeft" activeCell="C28" sqref="C28"/>
    </sheetView>
  </sheetViews>
  <sheetFormatPr baseColWidth="10" defaultColWidth="9.1796875" defaultRowHeight="13" x14ac:dyDescent="0.35"/>
  <cols>
    <col min="1" max="1" width="3" style="1" hidden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5429687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36" t="s">
        <v>4</v>
      </c>
      <c r="D1" s="136"/>
      <c r="E1" s="136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I48*5*F3</f>
        <v>0</v>
      </c>
      <c r="G2" s="5">
        <f>-D48*D3*F3</f>
        <v>0</v>
      </c>
      <c r="H2" s="128"/>
      <c r="I2" s="95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48" t="s">
        <v>35</v>
      </c>
      <c r="C8" s="53">
        <v>46174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4">
        <f t="shared" ref="I8:I11" si="0">G8-H8</f>
        <v>0</v>
      </c>
      <c r="J8" s="65">
        <f t="shared" ref="J8:J11" si="1">IF(SUM(E8:F8),E8/SUM(E8:F8), 0%)</f>
        <v>0</v>
      </c>
      <c r="K8" s="66">
        <f t="shared" ref="K8:K11" si="2">IF(E8&gt;0, G8/E8,0)</f>
        <v>0</v>
      </c>
      <c r="L8" s="66">
        <f t="shared" ref="L8:L11" si="3"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>
        <f>+C8+1</f>
        <v>46175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4">
        <f t="shared" si="0"/>
        <v>0</v>
      </c>
      <c r="J9" s="65">
        <f t="shared" si="1"/>
        <v>0</v>
      </c>
      <c r="K9" s="66">
        <f t="shared" si="2"/>
        <v>0</v>
      </c>
      <c r="L9" s="66">
        <f t="shared" si="3"/>
        <v>0</v>
      </c>
      <c r="M9" s="51">
        <v>0</v>
      </c>
      <c r="O9" s="125"/>
    </row>
    <row r="10" spans="1:17" ht="15" customHeight="1" x14ac:dyDescent="0.35">
      <c r="B10" s="48" t="s">
        <v>37</v>
      </c>
      <c r="C10" s="53">
        <f t="shared" ref="C10:C12" si="4">+C9+1</f>
        <v>46176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4">
        <f t="shared" si="0"/>
        <v>0</v>
      </c>
      <c r="J10" s="65">
        <f t="shared" si="1"/>
        <v>0</v>
      </c>
      <c r="K10" s="66">
        <f t="shared" si="2"/>
        <v>0</v>
      </c>
      <c r="L10" s="66">
        <f t="shared" si="3"/>
        <v>0</v>
      </c>
      <c r="M10" s="51">
        <v>0</v>
      </c>
      <c r="O10" s="125"/>
    </row>
    <row r="11" spans="1:17" ht="15" customHeight="1" x14ac:dyDescent="0.35">
      <c r="B11" s="48" t="s">
        <v>38</v>
      </c>
      <c r="C11" s="53">
        <f t="shared" si="4"/>
        <v>46177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4">
        <f t="shared" si="0"/>
        <v>0</v>
      </c>
      <c r="J11" s="65">
        <f t="shared" si="1"/>
        <v>0</v>
      </c>
      <c r="K11" s="66">
        <f t="shared" si="2"/>
        <v>0</v>
      </c>
      <c r="L11" s="66">
        <f t="shared" si="3"/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53">
        <f t="shared" si="4"/>
        <v>46178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5">SUM(D8:D12)</f>
        <v>0</v>
      </c>
      <c r="E14" s="25">
        <f t="shared" si="5"/>
        <v>0</v>
      </c>
      <c r="F14" s="25">
        <f t="shared" si="5"/>
        <v>0</v>
      </c>
      <c r="G14" s="26">
        <f t="shared" si="5"/>
        <v>0</v>
      </c>
      <c r="H14" s="26">
        <f t="shared" si="5"/>
        <v>0</v>
      </c>
      <c r="I14" s="27">
        <f t="shared" si="5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53">
        <f>+C12+3</f>
        <v>46181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46182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46183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46184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46185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6">SUM(D16:D20)</f>
        <v>0</v>
      </c>
      <c r="E22" s="25">
        <f t="shared" si="6"/>
        <v>0</v>
      </c>
      <c r="F22" s="25">
        <f t="shared" si="6"/>
        <v>0</v>
      </c>
      <c r="G22" s="26">
        <f t="shared" si="6"/>
        <v>0</v>
      </c>
      <c r="H22" s="26">
        <f t="shared" si="6"/>
        <v>0</v>
      </c>
      <c r="I22" s="27">
        <f t="shared" si="6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46188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46189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46190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46191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46192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7">SUM(D24:D28)</f>
        <v>0</v>
      </c>
      <c r="E30" s="25">
        <f t="shared" si="7"/>
        <v>0</v>
      </c>
      <c r="F30" s="25">
        <f t="shared" si="7"/>
        <v>0</v>
      </c>
      <c r="G30" s="26">
        <f t="shared" si="7"/>
        <v>0</v>
      </c>
      <c r="H30" s="26">
        <f t="shared" si="7"/>
        <v>0</v>
      </c>
      <c r="I30" s="27">
        <f t="shared" si="7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46195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1:17" ht="15" customHeight="1" x14ac:dyDescent="0.35">
      <c r="B33" s="48" t="s">
        <v>36</v>
      </c>
      <c r="C33" s="53">
        <f>C32+1</f>
        <v>46196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1:17" ht="15" customHeight="1" x14ac:dyDescent="0.35">
      <c r="B34" s="48" t="s">
        <v>37</v>
      </c>
      <c r="C34" s="53">
        <f>C33+1</f>
        <v>46197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1:17" ht="15" customHeight="1" x14ac:dyDescent="0.35">
      <c r="B35" s="48" t="s">
        <v>38</v>
      </c>
      <c r="C35" s="53">
        <f>C34+1</f>
        <v>46198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1:17" ht="15.75" customHeight="1" thickBot="1" x14ac:dyDescent="0.4">
      <c r="B36" s="48" t="s">
        <v>39</v>
      </c>
      <c r="C36" s="53">
        <f>C35+1</f>
        <v>46199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1:17" x14ac:dyDescent="0.35">
      <c r="G37" s="22"/>
      <c r="H37" s="22"/>
    </row>
    <row r="38" spans="1:17" x14ac:dyDescent="0.35">
      <c r="C38" s="42" t="s">
        <v>18</v>
      </c>
      <c r="D38" s="25">
        <f t="shared" ref="D38:I38" si="8">SUM(D32:D36)</f>
        <v>0</v>
      </c>
      <c r="E38" s="25">
        <f t="shared" si="8"/>
        <v>0</v>
      </c>
      <c r="F38" s="25">
        <f t="shared" si="8"/>
        <v>0</v>
      </c>
      <c r="G38" s="26">
        <f t="shared" si="8"/>
        <v>0</v>
      </c>
      <c r="H38" s="26">
        <f t="shared" si="8"/>
        <v>0</v>
      </c>
      <c r="I38" s="27">
        <f t="shared" si="8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  <c r="P38" s="32"/>
      <c r="Q38" s="32"/>
    </row>
    <row r="39" spans="1:17" ht="13.5" thickBot="1" x14ac:dyDescent="0.4">
      <c r="C39" s="121"/>
      <c r="D39" s="113"/>
      <c r="E39" s="113"/>
      <c r="F39" s="113"/>
      <c r="G39" s="114"/>
      <c r="H39" s="114"/>
      <c r="I39" s="115"/>
      <c r="J39" s="116"/>
      <c r="K39" s="114"/>
      <c r="L39" s="114"/>
      <c r="M39" s="117"/>
      <c r="N39" s="117"/>
      <c r="O39" s="118"/>
      <c r="P39" s="119"/>
      <c r="Q39" s="119"/>
    </row>
    <row r="40" spans="1:17" x14ac:dyDescent="0.35">
      <c r="A40" s="1">
        <v>4</v>
      </c>
      <c r="B40" s="48" t="s">
        <v>35</v>
      </c>
      <c r="C40" s="53">
        <f>C36+3</f>
        <v>46202</v>
      </c>
      <c r="D40" s="59">
        <v>0</v>
      </c>
      <c r="E40" s="59">
        <v>0</v>
      </c>
      <c r="F40" s="59">
        <v>0</v>
      </c>
      <c r="G40" s="60">
        <v>0</v>
      </c>
      <c r="H40" s="60">
        <v>0</v>
      </c>
      <c r="I40" s="61">
        <f>G40-H40</f>
        <v>0</v>
      </c>
      <c r="J40" s="62">
        <f>IF(SUM(E40:F40),E40/SUM(E40:F40), 0%)</f>
        <v>0</v>
      </c>
      <c r="K40" s="58">
        <f>IF(E40&gt;0, G40/E40,0)</f>
        <v>0</v>
      </c>
      <c r="L40" s="58">
        <f>IF(F40&gt;0,H40/F40,0)</f>
        <v>0</v>
      </c>
      <c r="M40" s="50">
        <v>0</v>
      </c>
      <c r="O40" s="124"/>
    </row>
    <row r="41" spans="1:17" ht="15" customHeight="1" x14ac:dyDescent="0.35">
      <c r="B41" s="48" t="s">
        <v>36</v>
      </c>
      <c r="C41" s="53">
        <f>C40+1</f>
        <v>46203</v>
      </c>
      <c r="D41" s="59">
        <v>0</v>
      </c>
      <c r="E41" s="59">
        <v>0</v>
      </c>
      <c r="F41" s="59">
        <v>0</v>
      </c>
      <c r="G41" s="60">
        <v>0</v>
      </c>
      <c r="H41" s="60">
        <v>0</v>
      </c>
      <c r="I41" s="61">
        <f>G41-H41</f>
        <v>0</v>
      </c>
      <c r="J41" s="62">
        <f>IF(SUM(E41:F41),E41/SUM(E41:F41), 0%)</f>
        <v>0</v>
      </c>
      <c r="K41" s="63">
        <f>IF(E41&gt;0, G41/E41,0)</f>
        <v>0</v>
      </c>
      <c r="L41" s="63">
        <f>IF(F41&gt;0,H41/F41,0)</f>
        <v>0</v>
      </c>
      <c r="M41" s="33">
        <v>0</v>
      </c>
      <c r="O41" s="125"/>
    </row>
    <row r="42" spans="1:17" ht="15" customHeight="1" x14ac:dyDescent="0.35">
      <c r="B42" s="48" t="s">
        <v>37</v>
      </c>
      <c r="C42" s="53">
        <f>C41+1</f>
        <v>46204</v>
      </c>
      <c r="D42" s="59">
        <v>0</v>
      </c>
      <c r="E42" s="59">
        <v>0</v>
      </c>
      <c r="F42" s="59">
        <v>0</v>
      </c>
      <c r="G42" s="60">
        <v>0</v>
      </c>
      <c r="H42" s="60">
        <v>0</v>
      </c>
      <c r="I42" s="61">
        <f>G42-H42</f>
        <v>0</v>
      </c>
      <c r="J42" s="62">
        <f>IF(SUM(E42:F42),E42/SUM(E42:F42), 0%)</f>
        <v>0</v>
      </c>
      <c r="K42" s="63">
        <f>IF(E42&gt;0, G42/E42,0)</f>
        <v>0</v>
      </c>
      <c r="L42" s="63">
        <f>IF(F42&gt;0,H42/F42,0)</f>
        <v>0</v>
      </c>
      <c r="M42" s="33">
        <v>0</v>
      </c>
      <c r="O42" s="125"/>
    </row>
    <row r="43" spans="1:17" ht="15" customHeight="1" x14ac:dyDescent="0.35">
      <c r="B43" s="48" t="s">
        <v>38</v>
      </c>
      <c r="C43" s="53">
        <f>C42+1</f>
        <v>46205</v>
      </c>
      <c r="D43" s="59">
        <v>0</v>
      </c>
      <c r="E43" s="59">
        <v>0</v>
      </c>
      <c r="F43" s="59">
        <v>0</v>
      </c>
      <c r="G43" s="60">
        <v>0</v>
      </c>
      <c r="H43" s="60">
        <v>0</v>
      </c>
      <c r="I43" s="61">
        <f>G43-H43</f>
        <v>0</v>
      </c>
      <c r="J43" s="62">
        <f>IF(SUM(E43:F43),E43/SUM(E43:F43), 0%)</f>
        <v>0</v>
      </c>
      <c r="K43" s="63">
        <f>IF(E43&gt;0, G43/E43,0)</f>
        <v>0</v>
      </c>
      <c r="L43" s="63">
        <f>IF(F43&gt;0,H43/F43,0)</f>
        <v>0</v>
      </c>
      <c r="M43" s="33">
        <v>0</v>
      </c>
      <c r="O43" s="125"/>
    </row>
    <row r="44" spans="1:17" ht="15.75" customHeight="1" thickBot="1" x14ac:dyDescent="0.4">
      <c r="B44" s="48" t="s">
        <v>39</v>
      </c>
      <c r="C44" s="53">
        <f>C43+1</f>
        <v>46206</v>
      </c>
      <c r="D44" s="59">
        <v>0</v>
      </c>
      <c r="E44" s="59">
        <v>0</v>
      </c>
      <c r="F44" s="59">
        <v>0</v>
      </c>
      <c r="G44" s="60">
        <v>0</v>
      </c>
      <c r="H44" s="60">
        <v>0</v>
      </c>
      <c r="I44" s="61">
        <f>G44-H44</f>
        <v>0</v>
      </c>
      <c r="J44" s="62">
        <f>IF(SUM(E44:F44),E44/SUM(E44:F44), 0%)</f>
        <v>0</v>
      </c>
      <c r="K44" s="63">
        <f>IF(E44&gt;0, G44/E44,0)</f>
        <v>0</v>
      </c>
      <c r="L44" s="63">
        <f>IF(F44&gt;0,H44/F44,0)</f>
        <v>0</v>
      </c>
      <c r="M44" s="35">
        <v>0</v>
      </c>
      <c r="O44" s="126"/>
    </row>
    <row r="45" spans="1:17" x14ac:dyDescent="0.35">
      <c r="G45" s="22"/>
      <c r="H45" s="22"/>
    </row>
    <row r="46" spans="1:17" x14ac:dyDescent="0.35">
      <c r="C46" s="42" t="s">
        <v>18</v>
      </c>
      <c r="D46" s="25">
        <f t="shared" ref="D46:I46" si="9">SUM(D40:D44)</f>
        <v>0</v>
      </c>
      <c r="E46" s="25">
        <f t="shared" si="9"/>
        <v>0</v>
      </c>
      <c r="F46" s="25">
        <f t="shared" si="9"/>
        <v>0</v>
      </c>
      <c r="G46" s="26">
        <f t="shared" si="9"/>
        <v>0</v>
      </c>
      <c r="H46" s="26">
        <f t="shared" si="9"/>
        <v>0</v>
      </c>
      <c r="I46" s="27">
        <f t="shared" si="9"/>
        <v>0</v>
      </c>
      <c r="J46" s="28">
        <f>IF(SUM(E46:F46),E46/SUM(E46:F46), 0%)</f>
        <v>0</v>
      </c>
      <c r="K46" s="26">
        <f>IF(E46&gt;0, G46/E46,0)</f>
        <v>0</v>
      </c>
      <c r="L46" s="26">
        <f>IF(F46&gt;0,H46/F46,0)</f>
        <v>0</v>
      </c>
      <c r="M46" s="29">
        <f>SUM(M40:M44)</f>
        <v>0</v>
      </c>
      <c r="N46" s="30"/>
      <c r="O46" s="31"/>
      <c r="P46" s="32"/>
      <c r="Q46" s="32"/>
    </row>
    <row r="48" spans="1:17" x14ac:dyDescent="0.35">
      <c r="C48" s="39" t="s">
        <v>19</v>
      </c>
      <c r="D48" s="10">
        <f>D14+D22+D38+D30+D46</f>
        <v>0</v>
      </c>
      <c r="E48" s="10">
        <f t="shared" ref="E48:L48" si="10">E14+E22+E38+E30+E46</f>
        <v>0</v>
      </c>
      <c r="F48" s="10">
        <f t="shared" si="10"/>
        <v>0</v>
      </c>
      <c r="G48" s="10">
        <f t="shared" si="10"/>
        <v>0</v>
      </c>
      <c r="H48" s="10">
        <f t="shared" si="10"/>
        <v>0</v>
      </c>
      <c r="I48" s="10">
        <f t="shared" si="10"/>
        <v>0</v>
      </c>
      <c r="J48" s="120">
        <f t="shared" si="10"/>
        <v>0</v>
      </c>
      <c r="K48" s="10">
        <f t="shared" si="10"/>
        <v>0</v>
      </c>
      <c r="L48" s="10">
        <f t="shared" si="10"/>
        <v>0</v>
      </c>
      <c r="M48" s="13" t="e">
        <f>M14+M22+M30+M38+#REF!</f>
        <v>#REF!</v>
      </c>
      <c r="N48" s="36"/>
      <c r="O48" s="37"/>
    </row>
  </sheetData>
  <mergeCells count="8">
    <mergeCell ref="O40:O44"/>
    <mergeCell ref="O32:O36"/>
    <mergeCell ref="H1:H3"/>
    <mergeCell ref="C1:E1"/>
    <mergeCell ref="C2:E2"/>
    <mergeCell ref="O8:O12"/>
    <mergeCell ref="O16:O20"/>
    <mergeCell ref="O24:O28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Q41"/>
  <sheetViews>
    <sheetView zoomScale="80" zoomScaleNormal="80" workbookViewId="0">
      <pane ySplit="6" topLeftCell="A22" activePane="bottomLeft" state="frozen"/>
      <selection pane="bottomLeft" activeCell="C9" sqref="C9"/>
    </sheetView>
  </sheetViews>
  <sheetFormatPr baseColWidth="10" defaultColWidth="9.1796875" defaultRowHeight="13" x14ac:dyDescent="0.35"/>
  <cols>
    <col min="1" max="1" width="3" style="1" hidden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816406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I41*5*F3</f>
        <v>0</v>
      </c>
      <c r="G2" s="5">
        <f>-D41*D3*F3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48" t="s">
        <v>35</v>
      </c>
      <c r="C8" s="53">
        <v>46209</v>
      </c>
      <c r="D8" s="54">
        <v>0</v>
      </c>
      <c r="E8" s="54">
        <v>0</v>
      </c>
      <c r="F8" s="54">
        <v>0</v>
      </c>
      <c r="G8" s="55">
        <v>0</v>
      </c>
      <c r="H8" s="55">
        <v>0</v>
      </c>
      <c r="I8" s="74">
        <f>G8-H8</f>
        <v>0</v>
      </c>
      <c r="J8" s="75">
        <f>IF(SUM(E8:F8),E8/SUM(E8:F8), 0%)</f>
        <v>0</v>
      </c>
      <c r="K8" s="76">
        <f>IF(E8&gt;0, G8/E8,0)</f>
        <v>0</v>
      </c>
      <c r="L8" s="76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>
        <f>+C8+1</f>
        <v>46210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7">
        <f>G9-H9</f>
        <v>0</v>
      </c>
      <c r="J9" s="68">
        <f>IF(SUM(E9:F9),E9/SUM(E9:F9), 0%)</f>
        <v>0</v>
      </c>
      <c r="K9" s="63">
        <f>IF(E9&gt;0, G9/E9,0)</f>
        <v>0</v>
      </c>
      <c r="L9" s="63">
        <f>IF(F9&gt;0,H9/F9,0)</f>
        <v>0</v>
      </c>
      <c r="M9" s="51">
        <v>0</v>
      </c>
      <c r="O9" s="125"/>
    </row>
    <row r="10" spans="1:17" ht="15" customHeight="1" x14ac:dyDescent="0.35">
      <c r="B10" s="48" t="s">
        <v>37</v>
      </c>
      <c r="C10" s="53">
        <f>C9+1</f>
        <v>46211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7">
        <f>G10-H10</f>
        <v>0</v>
      </c>
      <c r="J10" s="68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51">
        <v>0</v>
      </c>
      <c r="O10" s="125"/>
    </row>
    <row r="11" spans="1:17" ht="15" customHeight="1" x14ac:dyDescent="0.35">
      <c r="B11" s="48" t="s">
        <v>38</v>
      </c>
      <c r="C11" s="53">
        <f t="shared" ref="C11:C12" si="0">C10+1</f>
        <v>46212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7">
        <f>G11-H11</f>
        <v>0</v>
      </c>
      <c r="J11" s="68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53">
        <f t="shared" si="0"/>
        <v>46213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1">SUM(D8:D12)</f>
        <v>0</v>
      </c>
      <c r="E14" s="25">
        <f t="shared" si="1"/>
        <v>0</v>
      </c>
      <c r="F14" s="25">
        <f t="shared" si="1"/>
        <v>0</v>
      </c>
      <c r="G14" s="26">
        <f t="shared" si="1"/>
        <v>0</v>
      </c>
      <c r="H14" s="26">
        <f t="shared" si="1"/>
        <v>0</v>
      </c>
      <c r="I14" s="27">
        <f t="shared" si="1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53">
        <f>+C12+3</f>
        <v>46216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46217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46218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46219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46220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2">SUM(D16:D20)</f>
        <v>0</v>
      </c>
      <c r="E22" s="25">
        <f t="shared" si="2"/>
        <v>0</v>
      </c>
      <c r="F22" s="25">
        <f t="shared" si="2"/>
        <v>0</v>
      </c>
      <c r="G22" s="26">
        <f t="shared" si="2"/>
        <v>0</v>
      </c>
      <c r="H22" s="26">
        <f t="shared" si="2"/>
        <v>0</v>
      </c>
      <c r="I22" s="27">
        <f t="shared" si="2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46223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46224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46225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46226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46227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3">SUM(D24:D28)</f>
        <v>0</v>
      </c>
      <c r="E30" s="25">
        <f t="shared" si="3"/>
        <v>0</v>
      </c>
      <c r="F30" s="25">
        <f t="shared" si="3"/>
        <v>0</v>
      </c>
      <c r="G30" s="26">
        <f t="shared" si="3"/>
        <v>0</v>
      </c>
      <c r="H30" s="26">
        <f t="shared" si="3"/>
        <v>0</v>
      </c>
      <c r="I30" s="27">
        <f t="shared" si="3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46230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46231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46232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>C34+1</f>
        <v>46233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>C35+1</f>
        <v>46234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4">SUM(D32:D36)</f>
        <v>0</v>
      </c>
      <c r="E38" s="25">
        <f t="shared" si="4"/>
        <v>0</v>
      </c>
      <c r="F38" s="25">
        <f t="shared" si="4"/>
        <v>0</v>
      </c>
      <c r="G38" s="26">
        <f t="shared" si="4"/>
        <v>0</v>
      </c>
      <c r="H38" s="26">
        <f t="shared" si="4"/>
        <v>0</v>
      </c>
      <c r="I38" s="27">
        <f t="shared" si="4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  <c r="P38" s="32"/>
      <c r="Q38" s="32"/>
    </row>
    <row r="39" spans="2:17" x14ac:dyDescent="0.35">
      <c r="G39" s="22"/>
      <c r="H39" s="22"/>
    </row>
    <row r="41" spans="2:17" x14ac:dyDescent="0.35">
      <c r="C41" s="39" t="s">
        <v>19</v>
      </c>
      <c r="D41" s="10">
        <f>D14+D22+D38+D30</f>
        <v>0</v>
      </c>
      <c r="E41" s="10">
        <f t="shared" ref="E41:L41" si="5">E14+E22+E38+E30</f>
        <v>0</v>
      </c>
      <c r="F41" s="10">
        <f t="shared" si="5"/>
        <v>0</v>
      </c>
      <c r="G41" s="10">
        <f t="shared" si="5"/>
        <v>0</v>
      </c>
      <c r="H41" s="10">
        <f t="shared" si="5"/>
        <v>0</v>
      </c>
      <c r="I41" s="10">
        <f t="shared" si="5"/>
        <v>0</v>
      </c>
      <c r="J41" s="120">
        <f t="shared" si="5"/>
        <v>0</v>
      </c>
      <c r="K41" s="10">
        <f t="shared" si="5"/>
        <v>0</v>
      </c>
      <c r="L41" s="10">
        <f t="shared" si="5"/>
        <v>0</v>
      </c>
      <c r="M41" s="13" t="e">
        <f>M14+M22+M30+M38+#REF!</f>
        <v>#REF!</v>
      </c>
      <c r="N41" s="36"/>
      <c r="O41" s="37"/>
    </row>
  </sheetData>
  <mergeCells count="7">
    <mergeCell ref="O32:O36"/>
    <mergeCell ref="H1:H3"/>
    <mergeCell ref="C1:E1"/>
    <mergeCell ref="C2:E2"/>
    <mergeCell ref="O8:O12"/>
    <mergeCell ref="O16:O20"/>
    <mergeCell ref="O24:O28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Q42"/>
  <sheetViews>
    <sheetView topLeftCell="B1" zoomScale="80" zoomScaleNormal="80" workbookViewId="0">
      <pane ySplit="6" topLeftCell="A19" activePane="bottomLeft" state="frozen"/>
      <selection pane="bottomLeft" activeCell="I48" sqref="I48"/>
    </sheetView>
  </sheetViews>
  <sheetFormatPr baseColWidth="10" defaultColWidth="9.1796875" defaultRowHeight="13" x14ac:dyDescent="0.35"/>
  <cols>
    <col min="1" max="1" width="3" style="1" hidden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816406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I42*5*F3</f>
        <v>0</v>
      </c>
      <c r="G2" s="5">
        <f>-D42*D3*F3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3.5" thickBot="1" x14ac:dyDescent="0.4">
      <c r="G7" s="22"/>
      <c r="H7" s="22"/>
    </row>
    <row r="8" spans="1:17" x14ac:dyDescent="0.35">
      <c r="A8" s="1">
        <v>2</v>
      </c>
      <c r="B8" s="48" t="s">
        <v>35</v>
      </c>
      <c r="C8" s="53">
        <v>46237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1">
        <f>G8-H8</f>
        <v>0</v>
      </c>
      <c r="J8" s="62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1:17" ht="15" customHeight="1" x14ac:dyDescent="0.35">
      <c r="B9" s="48" t="s">
        <v>36</v>
      </c>
      <c r="C9" s="53">
        <f>C8+1</f>
        <v>46238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33">
        <v>0</v>
      </c>
      <c r="O9" s="125"/>
      <c r="Q9" s="34"/>
    </row>
    <row r="10" spans="1:17" ht="15" customHeight="1" x14ac:dyDescent="0.35">
      <c r="B10" s="48" t="s">
        <v>37</v>
      </c>
      <c r="C10" s="53">
        <f>C9+1</f>
        <v>46239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33">
        <v>0</v>
      </c>
      <c r="O10" s="125"/>
    </row>
    <row r="11" spans="1:17" ht="15" customHeight="1" x14ac:dyDescent="0.35">
      <c r="B11" s="48" t="s">
        <v>38</v>
      </c>
      <c r="C11" s="53">
        <f>C10+1</f>
        <v>46240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1">
        <f>G11-H11</f>
        <v>0</v>
      </c>
      <c r="J11" s="62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33">
        <v>0</v>
      </c>
      <c r="O11" s="125"/>
    </row>
    <row r="12" spans="1:17" ht="15.75" customHeight="1" thickBot="1" x14ac:dyDescent="0.4">
      <c r="B12" s="48" t="s">
        <v>39</v>
      </c>
      <c r="C12" s="53">
        <f>C11+1</f>
        <v>46241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1">
        <f>G12-H12</f>
        <v>0</v>
      </c>
      <c r="J12" s="62">
        <f>IF(SUM(E12:F12),E12/SUM(E12:F12), 0%)</f>
        <v>0</v>
      </c>
      <c r="K12" s="63">
        <f>IF(E12&gt;0, G12/E12,0)</f>
        <v>0</v>
      </c>
      <c r="L12" s="63">
        <f>IF(F12&gt;0,H12/F12,0)</f>
        <v>0</v>
      </c>
      <c r="M12" s="35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3</v>
      </c>
      <c r="B16" s="48" t="s">
        <v>35</v>
      </c>
      <c r="C16" s="53">
        <f>C12+3</f>
        <v>46244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46245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</row>
    <row r="18" spans="1:17" ht="15" customHeight="1" x14ac:dyDescent="0.35">
      <c r="B18" s="48" t="s">
        <v>37</v>
      </c>
      <c r="C18" s="53">
        <f>C17+1</f>
        <v>46246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46247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46248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4</v>
      </c>
      <c r="B24" s="48" t="s">
        <v>35</v>
      </c>
      <c r="C24" s="53">
        <f>C20+3</f>
        <v>46251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46252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46253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46254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46255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5</v>
      </c>
      <c r="B32" s="48" t="s">
        <v>35</v>
      </c>
      <c r="C32" s="53">
        <f>C28+3</f>
        <v>46258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46259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7">
        <f>G33-H33</f>
        <v>0</v>
      </c>
      <c r="J33" s="68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77" t="s">
        <v>37</v>
      </c>
      <c r="C34" s="78">
        <f>C33+1</f>
        <v>46260</v>
      </c>
      <c r="D34" s="79">
        <v>0</v>
      </c>
      <c r="E34" s="79">
        <v>0</v>
      </c>
      <c r="F34" s="79">
        <v>0</v>
      </c>
      <c r="G34" s="80">
        <v>0</v>
      </c>
      <c r="H34" s="80">
        <v>0</v>
      </c>
      <c r="I34" s="73">
        <f>G34-H34</f>
        <v>0</v>
      </c>
      <c r="J34" s="71">
        <f>IF(SUM(E34:F34),E34/SUM(E34:F34), 0%)</f>
        <v>0</v>
      </c>
      <c r="K34" s="72">
        <f>IF(E34&gt;0, G34/E34,0)</f>
        <v>0</v>
      </c>
      <c r="L34" s="72">
        <f>IF(F34&gt;0,H34/F34,0)</f>
        <v>0</v>
      </c>
      <c r="M34" s="33">
        <v>0</v>
      </c>
      <c r="O34" s="125"/>
    </row>
    <row r="35" spans="2:17" ht="15" customHeight="1" x14ac:dyDescent="0.35">
      <c r="B35" s="77" t="s">
        <v>38</v>
      </c>
      <c r="C35" s="78">
        <f>+C34+1</f>
        <v>46261</v>
      </c>
      <c r="D35" s="79">
        <v>0</v>
      </c>
      <c r="E35" s="79">
        <v>0</v>
      </c>
      <c r="F35" s="79">
        <v>0</v>
      </c>
      <c r="G35" s="80">
        <v>0</v>
      </c>
      <c r="H35" s="80">
        <v>0</v>
      </c>
      <c r="I35" s="73">
        <f>G35-H35</f>
        <v>0</v>
      </c>
      <c r="J35" s="71">
        <f>IF(SUM(E35:F35),E35/SUM(E35:F35), 0%)</f>
        <v>0</v>
      </c>
      <c r="K35" s="72">
        <f>IF(E35&gt;0, G35/E35,0)</f>
        <v>0</v>
      </c>
      <c r="L35" s="72">
        <f>IF(F35&gt;0,H35/F35,0)</f>
        <v>0</v>
      </c>
      <c r="M35" s="33">
        <v>0</v>
      </c>
      <c r="O35" s="125"/>
    </row>
    <row r="36" spans="2:17" ht="15.75" customHeight="1" thickBot="1" x14ac:dyDescent="0.4">
      <c r="B36" s="77" t="s">
        <v>39</v>
      </c>
      <c r="C36" s="78">
        <f>+C35+1</f>
        <v>46262</v>
      </c>
      <c r="D36" s="79">
        <v>0</v>
      </c>
      <c r="E36" s="79">
        <v>0</v>
      </c>
      <c r="F36" s="79">
        <v>0</v>
      </c>
      <c r="G36" s="80">
        <v>0</v>
      </c>
      <c r="H36" s="80">
        <v>0</v>
      </c>
      <c r="I36" s="73">
        <f>G36-H36</f>
        <v>0</v>
      </c>
      <c r="J36" s="71">
        <f>IF(SUM(E36:F36),E36/SUM(E36:F36), 0%)</f>
        <v>0</v>
      </c>
      <c r="K36" s="72">
        <f>IF(E36&gt;0, G36/E36,0)</f>
        <v>0</v>
      </c>
      <c r="L36" s="72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3">SUM(D32:D36)</f>
        <v>0</v>
      </c>
      <c r="E38" s="25">
        <f t="shared" si="3"/>
        <v>0</v>
      </c>
      <c r="F38" s="25">
        <f t="shared" si="3"/>
        <v>0</v>
      </c>
      <c r="G38" s="26">
        <v>0</v>
      </c>
      <c r="H38" s="26">
        <f t="shared" si="3"/>
        <v>0</v>
      </c>
      <c r="I38" s="27">
        <f t="shared" si="3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5">
        <f>SUM(M32:M36)</f>
        <v>0</v>
      </c>
      <c r="N38" s="30"/>
      <c r="O38" s="31"/>
      <c r="P38" s="32"/>
      <c r="Q38" s="32"/>
    </row>
    <row r="39" spans="2:17" x14ac:dyDescent="0.35">
      <c r="C39" s="121"/>
      <c r="D39" s="113"/>
      <c r="E39" s="113"/>
      <c r="F39" s="113"/>
      <c r="G39" s="114"/>
      <c r="H39" s="114"/>
      <c r="I39" s="115"/>
      <c r="J39" s="116"/>
      <c r="K39" s="114"/>
      <c r="L39" s="114"/>
      <c r="M39" s="113"/>
      <c r="N39" s="117"/>
      <c r="O39" s="118"/>
      <c r="P39" s="119"/>
      <c r="Q39" s="119"/>
    </row>
    <row r="40" spans="2:17" x14ac:dyDescent="0.35"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32"/>
      <c r="Q40" s="32"/>
    </row>
    <row r="42" spans="2:17" x14ac:dyDescent="0.35">
      <c r="C42" s="39" t="s">
        <v>19</v>
      </c>
      <c r="D42" s="10">
        <f>D14+D30+D22+D38+D40</f>
        <v>0</v>
      </c>
      <c r="E42" s="10">
        <f>E14+E30+E22+E38+E40</f>
        <v>0</v>
      </c>
      <c r="F42" s="10">
        <f>F14+F30+F22+F38+F40</f>
        <v>0</v>
      </c>
      <c r="G42" s="10">
        <f>G14+G30+G22+G38+G40</f>
        <v>0</v>
      </c>
      <c r="H42" s="10">
        <f>H14+H30+H22+H38+H40</f>
        <v>0</v>
      </c>
      <c r="I42" s="10">
        <f>I14+I30+I22+I38+I40</f>
        <v>0</v>
      </c>
      <c r="J42" s="120">
        <f>J14+J30+J22+J38</f>
        <v>0</v>
      </c>
      <c r="K42" s="10">
        <f>K14+K30+K22+K38+K40</f>
        <v>0</v>
      </c>
      <c r="L42" s="10">
        <f>L14+L30+L22+L38+L40</f>
        <v>0</v>
      </c>
      <c r="M42" s="13" t="e">
        <f>#REF!+M14+M22+M30+M38</f>
        <v>#REF!</v>
      </c>
      <c r="N42" s="36"/>
      <c r="O42" s="37"/>
    </row>
  </sheetData>
  <mergeCells count="7">
    <mergeCell ref="O32:O36"/>
    <mergeCell ref="C1:E1"/>
    <mergeCell ref="C2:E2"/>
    <mergeCell ref="O8:O12"/>
    <mergeCell ref="O16:O20"/>
    <mergeCell ref="O24:O28"/>
    <mergeCell ref="H1:H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Q48"/>
  <sheetViews>
    <sheetView zoomScale="80" zoomScaleNormal="80" workbookViewId="0">
      <pane ySplit="6" topLeftCell="A31" activePane="bottomLeft" state="frozen"/>
      <selection pane="bottomLeft" activeCell="G51" sqref="G51"/>
    </sheetView>
  </sheetViews>
  <sheetFormatPr baseColWidth="10" defaultColWidth="9.1796875" defaultRowHeight="13" x14ac:dyDescent="0.35"/>
  <cols>
    <col min="1" max="1" width="3" style="1" hidden="1" customWidth="1"/>
    <col min="2" max="2" width="8.81640625" style="47" bestFit="1" customWidth="1"/>
    <col min="3" max="3" width="11.7265625" style="41" bestFit="1" customWidth="1"/>
    <col min="4" max="4" width="11.26953125" style="21" bestFit="1" customWidth="1"/>
    <col min="5" max="5" width="15.5429687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I48*5*F3</f>
        <v>0</v>
      </c>
      <c r="G2" s="5">
        <f>-D48*D3*F3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77" t="s">
        <v>35</v>
      </c>
      <c r="C8" s="78">
        <v>46265</v>
      </c>
      <c r="D8" s="81">
        <v>0</v>
      </c>
      <c r="E8" s="81">
        <v>0</v>
      </c>
      <c r="F8" s="81">
        <v>0</v>
      </c>
      <c r="G8" s="82">
        <v>0</v>
      </c>
      <c r="H8" s="82">
        <v>0</v>
      </c>
      <c r="I8" s="70">
        <f>G8-H8</f>
        <v>0</v>
      </c>
      <c r="J8" s="71">
        <f>IF(SUM(E8:F8),E8/SUM(E8:F8), 0%)</f>
        <v>0</v>
      </c>
      <c r="K8" s="72">
        <f>IF(E8&gt;0, G8/E8,0)</f>
        <v>0</v>
      </c>
      <c r="L8" s="72">
        <f>IF(F8&gt;0,H8/F8,0)</f>
        <v>0</v>
      </c>
      <c r="M8" s="50">
        <v>0</v>
      </c>
      <c r="O8" s="124"/>
    </row>
    <row r="9" spans="1:17" ht="15" customHeight="1" x14ac:dyDescent="0.35">
      <c r="B9" s="77" t="s">
        <v>36</v>
      </c>
      <c r="C9" s="78">
        <f>+C8+1</f>
        <v>46266</v>
      </c>
      <c r="D9" s="79">
        <v>0</v>
      </c>
      <c r="E9" s="79">
        <v>0</v>
      </c>
      <c r="F9" s="79">
        <v>0</v>
      </c>
      <c r="G9" s="80">
        <v>0</v>
      </c>
      <c r="H9" s="80">
        <v>0</v>
      </c>
      <c r="I9" s="73">
        <f>G9-H9</f>
        <v>0</v>
      </c>
      <c r="J9" s="71">
        <f>IF(SUM(E9:F9),E9/SUM(E9:F9), 0%)</f>
        <v>0</v>
      </c>
      <c r="K9" s="72">
        <f>IF(E9&gt;0, G9/E9,0)</f>
        <v>0</v>
      </c>
      <c r="L9" s="72">
        <f>IF(F9&gt;0,H9/F9,0)</f>
        <v>0</v>
      </c>
      <c r="M9" s="51">
        <v>0</v>
      </c>
      <c r="O9" s="125"/>
    </row>
    <row r="10" spans="1:17" ht="15" customHeight="1" x14ac:dyDescent="0.35">
      <c r="B10" s="48" t="s">
        <v>37</v>
      </c>
      <c r="C10" s="78">
        <f t="shared" ref="C10:C12" si="0">+C9+1</f>
        <v>46267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7">
        <f>G10-H10</f>
        <v>0</v>
      </c>
      <c r="J10" s="68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51">
        <v>0</v>
      </c>
      <c r="O10" s="125"/>
    </row>
    <row r="11" spans="1:17" ht="15" customHeight="1" x14ac:dyDescent="0.35">
      <c r="B11" s="48" t="s">
        <v>38</v>
      </c>
      <c r="C11" s="78">
        <f t="shared" si="0"/>
        <v>46268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7">
        <f>G11-H11</f>
        <v>0</v>
      </c>
      <c r="J11" s="68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78">
        <f t="shared" si="0"/>
        <v>46269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1">SUM(D8:D12)</f>
        <v>0</v>
      </c>
      <c r="E14" s="25">
        <f t="shared" si="1"/>
        <v>0</v>
      </c>
      <c r="F14" s="25">
        <f t="shared" si="1"/>
        <v>0</v>
      </c>
      <c r="G14" s="26">
        <f t="shared" si="1"/>
        <v>0</v>
      </c>
      <c r="H14" s="26">
        <f t="shared" si="1"/>
        <v>0</v>
      </c>
      <c r="I14" s="27">
        <f t="shared" si="1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53">
        <f>+C12+3</f>
        <v>46272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46273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46274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46275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46276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2">SUM(D16:D20)</f>
        <v>0</v>
      </c>
      <c r="E22" s="25">
        <f t="shared" si="2"/>
        <v>0</v>
      </c>
      <c r="F22" s="25">
        <f t="shared" si="2"/>
        <v>0</v>
      </c>
      <c r="G22" s="26">
        <f t="shared" si="2"/>
        <v>0</v>
      </c>
      <c r="H22" s="26">
        <f t="shared" si="2"/>
        <v>0</v>
      </c>
      <c r="I22" s="27">
        <f t="shared" si="2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46279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+C24+1</f>
        <v>46280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46281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46282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46283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3">SUM(D24:D28)</f>
        <v>0</v>
      </c>
      <c r="E30" s="25">
        <f t="shared" si="3"/>
        <v>0</v>
      </c>
      <c r="F30" s="25">
        <f t="shared" si="3"/>
        <v>0</v>
      </c>
      <c r="G30" s="26">
        <f t="shared" si="3"/>
        <v>0</v>
      </c>
      <c r="H30" s="26">
        <f t="shared" si="3"/>
        <v>0</v>
      </c>
      <c r="I30" s="27">
        <f t="shared" si="3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46286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46287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46288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>C34+1</f>
        <v>46289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>C35+1</f>
        <v>46290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4">SUM(D32:D36)</f>
        <v>0</v>
      </c>
      <c r="E38" s="25">
        <f t="shared" si="4"/>
        <v>0</v>
      </c>
      <c r="F38" s="25">
        <f t="shared" si="4"/>
        <v>0</v>
      </c>
      <c r="G38" s="26">
        <f t="shared" si="4"/>
        <v>0</v>
      </c>
      <c r="H38" s="26">
        <f t="shared" si="4"/>
        <v>0</v>
      </c>
      <c r="I38" s="27">
        <f t="shared" si="4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  <c r="P38" s="32"/>
      <c r="Q38" s="32"/>
    </row>
    <row r="39" spans="2:17" ht="13.5" thickBot="1" x14ac:dyDescent="0.4">
      <c r="G39" s="22"/>
      <c r="H39" s="22"/>
    </row>
    <row r="40" spans="2:17" x14ac:dyDescent="0.35">
      <c r="B40" s="48" t="s">
        <v>35</v>
      </c>
      <c r="C40" s="53">
        <f>C36+3</f>
        <v>46293</v>
      </c>
      <c r="D40" s="59">
        <v>0</v>
      </c>
      <c r="E40" s="59">
        <v>0</v>
      </c>
      <c r="F40" s="59">
        <v>0</v>
      </c>
      <c r="G40" s="60">
        <v>0</v>
      </c>
      <c r="H40" s="60">
        <v>0</v>
      </c>
      <c r="I40" s="61">
        <f>G40-H40</f>
        <v>0</v>
      </c>
      <c r="J40" s="62">
        <f>IF(SUM(E40:F40),E40/SUM(E40:F40), 0%)</f>
        <v>0</v>
      </c>
      <c r="K40" s="58">
        <f>IF(E40&gt;0, G40/E40,0)</f>
        <v>0</v>
      </c>
      <c r="L40" s="58">
        <f>IF(F40&gt;0,H40/F40,0)</f>
        <v>0</v>
      </c>
      <c r="M40" s="50">
        <v>0</v>
      </c>
      <c r="O40" s="124"/>
    </row>
    <row r="41" spans="2:17" x14ac:dyDescent="0.35">
      <c r="B41" s="48" t="s">
        <v>36</v>
      </c>
      <c r="C41" s="53">
        <f>C40+1</f>
        <v>46294</v>
      </c>
      <c r="D41" s="59">
        <v>0</v>
      </c>
      <c r="E41" s="59">
        <v>0</v>
      </c>
      <c r="F41" s="59">
        <v>0</v>
      </c>
      <c r="G41" s="60">
        <v>0</v>
      </c>
      <c r="H41" s="60">
        <v>0</v>
      </c>
      <c r="I41" s="61">
        <f>G41-H41</f>
        <v>0</v>
      </c>
      <c r="J41" s="62">
        <f>IF(SUM(E41:F41),E41/SUM(E41:F41), 0%)</f>
        <v>0</v>
      </c>
      <c r="K41" s="63">
        <f>IF(E41&gt;0, G41/E41,0)</f>
        <v>0</v>
      </c>
      <c r="L41" s="63">
        <f>IF(F41&gt;0,H41/F41,0)</f>
        <v>0</v>
      </c>
      <c r="M41" s="33">
        <v>0</v>
      </c>
      <c r="O41" s="125"/>
    </row>
    <row r="42" spans="2:17" x14ac:dyDescent="0.35">
      <c r="B42" s="48" t="s">
        <v>37</v>
      </c>
      <c r="C42" s="53">
        <f>C41+1</f>
        <v>46295</v>
      </c>
      <c r="D42" s="59">
        <v>0</v>
      </c>
      <c r="E42" s="59">
        <v>0</v>
      </c>
      <c r="F42" s="59">
        <v>0</v>
      </c>
      <c r="G42" s="60">
        <v>0</v>
      </c>
      <c r="H42" s="60">
        <v>0</v>
      </c>
      <c r="I42" s="61">
        <f>G42-H42</f>
        <v>0</v>
      </c>
      <c r="J42" s="62">
        <f>IF(SUM(E42:F42),E42/SUM(E42:F42), 0%)</f>
        <v>0</v>
      </c>
      <c r="K42" s="63">
        <f>IF(E42&gt;0, G42/E42,0)</f>
        <v>0</v>
      </c>
      <c r="L42" s="63">
        <f>IF(F42&gt;0,H42/F42,0)</f>
        <v>0</v>
      </c>
      <c r="M42" s="33">
        <v>0</v>
      </c>
      <c r="O42" s="125"/>
    </row>
    <row r="43" spans="2:17" x14ac:dyDescent="0.35">
      <c r="B43" s="48" t="s">
        <v>38</v>
      </c>
      <c r="C43" s="53">
        <f>C42+1</f>
        <v>46296</v>
      </c>
      <c r="D43" s="59">
        <v>0</v>
      </c>
      <c r="E43" s="59">
        <v>0</v>
      </c>
      <c r="F43" s="59">
        <v>0</v>
      </c>
      <c r="G43" s="60">
        <v>0</v>
      </c>
      <c r="H43" s="60">
        <v>0</v>
      </c>
      <c r="I43" s="61">
        <f>G43-H43</f>
        <v>0</v>
      </c>
      <c r="J43" s="62">
        <f>IF(SUM(E43:F43),E43/SUM(E43:F43), 0%)</f>
        <v>0</v>
      </c>
      <c r="K43" s="63">
        <f>IF(E43&gt;0, G43/E43,0)</f>
        <v>0</v>
      </c>
      <c r="L43" s="63">
        <f>IF(F43&gt;0,H43/F43,0)</f>
        <v>0</v>
      </c>
      <c r="M43" s="33">
        <v>0</v>
      </c>
      <c r="O43" s="125"/>
    </row>
    <row r="44" spans="2:17" ht="13.5" thickBot="1" x14ac:dyDescent="0.4">
      <c r="B44" s="48" t="s">
        <v>39</v>
      </c>
      <c r="C44" s="53">
        <f>C43+1</f>
        <v>46297</v>
      </c>
      <c r="D44" s="59">
        <v>0</v>
      </c>
      <c r="E44" s="59">
        <v>0</v>
      </c>
      <c r="F44" s="59">
        <v>0</v>
      </c>
      <c r="G44" s="60">
        <v>0</v>
      </c>
      <c r="H44" s="60">
        <v>0</v>
      </c>
      <c r="I44" s="61">
        <f>G44-H44</f>
        <v>0</v>
      </c>
      <c r="J44" s="62">
        <f>IF(SUM(E44:F44),E44/SUM(E44:F44), 0%)</f>
        <v>0</v>
      </c>
      <c r="K44" s="63">
        <f>IF(E44&gt;0, G44/E44,0)</f>
        <v>0</v>
      </c>
      <c r="L44" s="63">
        <f>IF(F44&gt;0,H44/F44,0)</f>
        <v>0</v>
      </c>
      <c r="M44" s="35">
        <v>0</v>
      </c>
      <c r="O44" s="126"/>
    </row>
    <row r="45" spans="2:17" x14ac:dyDescent="0.35">
      <c r="G45" s="22"/>
      <c r="H45" s="22"/>
    </row>
    <row r="46" spans="2:17" x14ac:dyDescent="0.35">
      <c r="C46" s="42" t="s">
        <v>18</v>
      </c>
      <c r="D46" s="25">
        <f t="shared" ref="D46:I46" si="5">SUM(D40:D44)</f>
        <v>0</v>
      </c>
      <c r="E46" s="25">
        <f t="shared" si="5"/>
        <v>0</v>
      </c>
      <c r="F46" s="25">
        <f t="shared" si="5"/>
        <v>0</v>
      </c>
      <c r="G46" s="26">
        <f t="shared" si="5"/>
        <v>0</v>
      </c>
      <c r="H46" s="26">
        <f t="shared" si="5"/>
        <v>0</v>
      </c>
      <c r="I46" s="27">
        <f t="shared" si="5"/>
        <v>0</v>
      </c>
      <c r="J46" s="28">
        <f>IF(SUM(E46:F46),E46/SUM(E46:F46), 0%)</f>
        <v>0</v>
      </c>
      <c r="K46" s="26">
        <f>IF(E46&gt;0, G46/E46,0)</f>
        <v>0</v>
      </c>
      <c r="L46" s="26">
        <f>IF(F46&gt;0,H46/F46,0)</f>
        <v>0</v>
      </c>
      <c r="M46" s="29">
        <f>SUM(M40:M44)</f>
        <v>0</v>
      </c>
      <c r="N46" s="30"/>
      <c r="O46" s="31"/>
    </row>
    <row r="47" spans="2:17" x14ac:dyDescent="0.35"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 spans="2:17" x14ac:dyDescent="0.35">
      <c r="C48" s="39" t="s">
        <v>19</v>
      </c>
      <c r="D48" s="10">
        <f>D14+D22+D38+D30</f>
        <v>0</v>
      </c>
      <c r="E48" s="10">
        <f t="shared" ref="E48:L48" si="6">E14+E22+E38+E30</f>
        <v>0</v>
      </c>
      <c r="F48" s="10">
        <f>F14+F22+F38+F30</f>
        <v>0</v>
      </c>
      <c r="G48" s="10">
        <f>G14+G22+G38+G30</f>
        <v>0</v>
      </c>
      <c r="H48" s="10">
        <f>H14+H22+H38+H30</f>
        <v>0</v>
      </c>
      <c r="I48" s="10">
        <f t="shared" si="6"/>
        <v>0</v>
      </c>
      <c r="J48" s="120">
        <f>J14+J22+J38+J30</f>
        <v>0</v>
      </c>
      <c r="K48" s="10">
        <f t="shared" si="6"/>
        <v>0</v>
      </c>
      <c r="L48" s="10">
        <f t="shared" si="6"/>
        <v>0</v>
      </c>
      <c r="M48" s="13" t="e">
        <f>M14+M22+M30+M38+#REF!</f>
        <v>#REF!</v>
      </c>
      <c r="N48" s="36"/>
      <c r="O48" s="37"/>
    </row>
  </sheetData>
  <mergeCells count="8">
    <mergeCell ref="O40:O44"/>
    <mergeCell ref="O32:O36"/>
    <mergeCell ref="H1:H3"/>
    <mergeCell ref="C1:E1"/>
    <mergeCell ref="C2:E2"/>
    <mergeCell ref="O8:O12"/>
    <mergeCell ref="O16:O20"/>
    <mergeCell ref="O24:O28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P49"/>
  <sheetViews>
    <sheetView zoomScale="90" zoomScaleNormal="90" workbookViewId="0">
      <pane ySplit="6" topLeftCell="A28" activePane="bottomLeft" state="frozen"/>
      <selection pane="bottomLeft" activeCell="B9" sqref="B9"/>
    </sheetView>
  </sheetViews>
  <sheetFormatPr baseColWidth="10" defaultColWidth="9.1796875" defaultRowHeight="13" x14ac:dyDescent="0.35"/>
  <cols>
    <col min="1" max="1" width="9.453125" style="47" bestFit="1" customWidth="1"/>
    <col min="2" max="2" width="13.54296875" style="41" bestFit="1" customWidth="1"/>
    <col min="3" max="3" width="11.26953125" style="21" bestFit="1" customWidth="1"/>
    <col min="4" max="4" width="14" style="21" bestFit="1" customWidth="1"/>
    <col min="5" max="5" width="13.7265625" style="21" customWidth="1"/>
    <col min="6" max="6" width="15" style="21" customWidth="1"/>
    <col min="7" max="7" width="15.26953125" style="21" customWidth="1"/>
    <col min="8" max="8" width="11.26953125" style="23" bestFit="1" customWidth="1"/>
    <col min="9" max="9" width="13.453125" style="24" bestFit="1" customWidth="1"/>
    <col min="10" max="10" width="17" style="1" bestFit="1" customWidth="1"/>
    <col min="11" max="11" width="16.7265625" style="1" customWidth="1"/>
    <col min="12" max="12" width="0.453125" style="1" hidden="1" customWidth="1"/>
    <col min="13" max="13" width="9.1796875" style="1"/>
    <col min="14" max="14" width="45.7265625" style="1" bestFit="1" customWidth="1"/>
    <col min="15" max="16384" width="9.1796875" style="1"/>
  </cols>
  <sheetData>
    <row r="1" spans="1:16" x14ac:dyDescent="0.35">
      <c r="B1" s="122" t="s">
        <v>4</v>
      </c>
      <c r="C1" s="122"/>
      <c r="D1" s="122"/>
      <c r="E1" s="2" t="s">
        <v>5</v>
      </c>
      <c r="F1" s="2" t="s">
        <v>6</v>
      </c>
      <c r="G1" s="127"/>
      <c r="H1" s="4" t="s">
        <v>7</v>
      </c>
      <c r="I1" s="4" t="s">
        <v>8</v>
      </c>
      <c r="J1" s="4">
        <f>+(J2-I2)/I2</f>
        <v>0</v>
      </c>
    </row>
    <row r="2" spans="1:16" x14ac:dyDescent="0.35">
      <c r="B2" s="123" t="s">
        <v>1</v>
      </c>
      <c r="C2" s="123"/>
      <c r="D2" s="123"/>
      <c r="E2" s="49">
        <f>H49*5*E3</f>
        <v>0</v>
      </c>
      <c r="F2" s="5">
        <f>-C49*C3*E3</f>
        <v>0</v>
      </c>
      <c r="G2" s="128"/>
      <c r="H2" s="92">
        <f>(E2*E3)+F2</f>
        <v>0</v>
      </c>
      <c r="I2" s="96">
        <v>1250</v>
      </c>
      <c r="J2" s="6">
        <f>H2+I2</f>
        <v>1250</v>
      </c>
    </row>
    <row r="3" spans="1:16" x14ac:dyDescent="0.35">
      <c r="B3" s="38" t="s">
        <v>2</v>
      </c>
      <c r="C3" s="7">
        <v>3</v>
      </c>
      <c r="D3" s="2" t="s">
        <v>3</v>
      </c>
      <c r="E3" s="8">
        <v>1</v>
      </c>
      <c r="F3" s="2"/>
      <c r="G3" s="129"/>
      <c r="H3" s="3"/>
      <c r="I3" s="4"/>
      <c r="J3" s="9"/>
    </row>
    <row r="6" spans="1:16" x14ac:dyDescent="0.35">
      <c r="B6" s="39" t="s">
        <v>9</v>
      </c>
      <c r="C6" s="10" t="s">
        <v>0</v>
      </c>
      <c r="D6" s="10" t="s">
        <v>12</v>
      </c>
      <c r="E6" s="10" t="s">
        <v>13</v>
      </c>
      <c r="F6" s="10" t="s">
        <v>10</v>
      </c>
      <c r="G6" s="10" t="s">
        <v>11</v>
      </c>
      <c r="H6" s="11" t="s">
        <v>14</v>
      </c>
      <c r="I6" s="12" t="s">
        <v>15</v>
      </c>
      <c r="J6" s="13" t="s">
        <v>16</v>
      </c>
      <c r="K6" s="13" t="s">
        <v>17</v>
      </c>
      <c r="L6" s="14"/>
      <c r="M6" s="15"/>
      <c r="N6" s="14" t="s">
        <v>20</v>
      </c>
    </row>
    <row r="7" spans="1:16" ht="15" customHeight="1" thickBot="1" x14ac:dyDescent="0.4">
      <c r="B7" s="40"/>
      <c r="C7" s="16"/>
      <c r="D7" s="16"/>
      <c r="E7" s="16"/>
      <c r="F7" s="16"/>
      <c r="G7" s="16"/>
      <c r="H7" s="17"/>
      <c r="I7" s="18"/>
      <c r="J7" s="19"/>
      <c r="K7" s="19"/>
      <c r="L7" s="20"/>
      <c r="M7" s="20"/>
      <c r="N7" s="20"/>
    </row>
    <row r="8" spans="1:16" x14ac:dyDescent="0.35">
      <c r="A8" s="48" t="s">
        <v>35</v>
      </c>
      <c r="B8" s="53">
        <v>46300</v>
      </c>
      <c r="C8" s="59">
        <v>0</v>
      </c>
      <c r="D8" s="59">
        <v>0</v>
      </c>
      <c r="E8" s="59">
        <v>0</v>
      </c>
      <c r="F8" s="60">
        <v>0</v>
      </c>
      <c r="G8" s="60">
        <v>0</v>
      </c>
      <c r="H8" s="61">
        <f>F8-G8</f>
        <v>0</v>
      </c>
      <c r="I8" s="62">
        <f>IF(SUM(D8:E8),D8/SUM(D8:E8), 0%)</f>
        <v>0</v>
      </c>
      <c r="J8" s="63">
        <f>IF(D8&gt;0, F8/D8,0)</f>
        <v>0</v>
      </c>
      <c r="K8" s="63">
        <f>IF(E8&gt;0,G8/E8,0)</f>
        <v>0</v>
      </c>
      <c r="L8" s="50">
        <v>0</v>
      </c>
      <c r="N8" s="124"/>
    </row>
    <row r="9" spans="1:16" ht="15" customHeight="1" x14ac:dyDescent="0.35">
      <c r="A9" s="48" t="s">
        <v>36</v>
      </c>
      <c r="B9" s="53">
        <f>B8+1</f>
        <v>46301</v>
      </c>
      <c r="C9" s="59">
        <v>0</v>
      </c>
      <c r="D9" s="59">
        <v>0</v>
      </c>
      <c r="E9" s="59">
        <v>0</v>
      </c>
      <c r="F9" s="60">
        <v>0</v>
      </c>
      <c r="G9" s="60">
        <v>0</v>
      </c>
      <c r="H9" s="61">
        <f>F9-G9</f>
        <v>0</v>
      </c>
      <c r="I9" s="62">
        <f>IF(SUM(D9:E9),D9/SUM(D9:E9), 0%)</f>
        <v>0</v>
      </c>
      <c r="J9" s="63">
        <f>IF(D9&gt;0, F9/D9,0)</f>
        <v>0</v>
      </c>
      <c r="K9" s="63">
        <f>IF(E9&gt;0,G9/E9,0)</f>
        <v>0</v>
      </c>
      <c r="L9" s="51">
        <v>0</v>
      </c>
      <c r="N9" s="125"/>
    </row>
    <row r="10" spans="1:16" ht="15" customHeight="1" x14ac:dyDescent="0.35">
      <c r="A10" s="48" t="s">
        <v>37</v>
      </c>
      <c r="B10" s="53">
        <f t="shared" ref="B10:B12" si="0">B9+1</f>
        <v>46302</v>
      </c>
      <c r="C10" s="59">
        <v>0</v>
      </c>
      <c r="D10" s="59">
        <v>0</v>
      </c>
      <c r="E10" s="59">
        <v>0</v>
      </c>
      <c r="F10" s="60">
        <v>0</v>
      </c>
      <c r="G10" s="60">
        <v>0</v>
      </c>
      <c r="H10" s="61">
        <f>F10-G10</f>
        <v>0</v>
      </c>
      <c r="I10" s="62">
        <f>IF(SUM(D10:E10),D10/SUM(D10:E10), 0%)</f>
        <v>0</v>
      </c>
      <c r="J10" s="63">
        <f>IF(D10&gt;0, F10/D10,0)</f>
        <v>0</v>
      </c>
      <c r="K10" s="63">
        <f>IF(E10&gt;0,G10/E10,0)</f>
        <v>0</v>
      </c>
      <c r="L10" s="51">
        <v>0</v>
      </c>
      <c r="N10" s="125"/>
    </row>
    <row r="11" spans="1:16" ht="15" customHeight="1" x14ac:dyDescent="0.35">
      <c r="A11" s="48" t="s">
        <v>38</v>
      </c>
      <c r="B11" s="53">
        <f t="shared" si="0"/>
        <v>46303</v>
      </c>
      <c r="C11" s="59">
        <v>0</v>
      </c>
      <c r="D11" s="59">
        <v>0</v>
      </c>
      <c r="E11" s="59">
        <v>0</v>
      </c>
      <c r="F11" s="60">
        <v>0</v>
      </c>
      <c r="G11" s="60">
        <v>0</v>
      </c>
      <c r="H11" s="64">
        <f>F11-G11</f>
        <v>0</v>
      </c>
      <c r="I11" s="65">
        <f>IF(SUM(D11:E11),D11/SUM(D11:E11), 0%)</f>
        <v>0</v>
      </c>
      <c r="J11" s="66">
        <f>IF(D11&gt;0, F11/D11,0)</f>
        <v>0</v>
      </c>
      <c r="K11" s="66">
        <f>IF(E11&gt;0,G11/E11,0)</f>
        <v>0</v>
      </c>
      <c r="L11" s="51">
        <v>0</v>
      </c>
      <c r="N11" s="125"/>
    </row>
    <row r="12" spans="1:16" ht="15.75" customHeight="1" thickBot="1" x14ac:dyDescent="0.4">
      <c r="A12" s="48" t="s">
        <v>39</v>
      </c>
      <c r="B12" s="53">
        <f t="shared" si="0"/>
        <v>46304</v>
      </c>
      <c r="C12" s="59">
        <v>0</v>
      </c>
      <c r="D12" s="59">
        <v>0</v>
      </c>
      <c r="E12" s="59">
        <v>0</v>
      </c>
      <c r="F12" s="60">
        <v>0</v>
      </c>
      <c r="G12" s="60">
        <v>0</v>
      </c>
      <c r="H12" s="64">
        <f>F12-G12</f>
        <v>0</v>
      </c>
      <c r="I12" s="65">
        <f>IF(SUM(D12:E12),D12/SUM(D12:E12), 0%)</f>
        <v>0</v>
      </c>
      <c r="J12" s="66">
        <f>IF(D12&gt;0, F12/D12,0)</f>
        <v>0</v>
      </c>
      <c r="K12" s="66">
        <f>IF(E12&gt;0,G12/E12,0)</f>
        <v>0</v>
      </c>
      <c r="L12" s="52">
        <v>0</v>
      </c>
      <c r="N12" s="126"/>
    </row>
    <row r="13" spans="1:16" x14ac:dyDescent="0.35">
      <c r="F13" s="22"/>
      <c r="G13" s="22"/>
    </row>
    <row r="14" spans="1:16" x14ac:dyDescent="0.35">
      <c r="B14" s="42" t="s">
        <v>18</v>
      </c>
      <c r="C14" s="25">
        <f t="shared" ref="C14:H14" si="1">SUM(C8:C12)</f>
        <v>0</v>
      </c>
      <c r="D14" s="25">
        <f t="shared" si="1"/>
        <v>0</v>
      </c>
      <c r="E14" s="25">
        <f t="shared" si="1"/>
        <v>0</v>
      </c>
      <c r="F14" s="26">
        <f t="shared" si="1"/>
        <v>0</v>
      </c>
      <c r="G14" s="26">
        <f t="shared" si="1"/>
        <v>0</v>
      </c>
      <c r="H14" s="27">
        <f t="shared" si="1"/>
        <v>0</v>
      </c>
      <c r="I14" s="28">
        <f>IF(SUM(D14:E14),D14/SUM(D14:E14), 0%)</f>
        <v>0</v>
      </c>
      <c r="J14" s="26">
        <f>IF(D14&gt;0, F14/D14,0)</f>
        <v>0</v>
      </c>
      <c r="K14" s="26">
        <f>IF(E14&gt;0,G14/E14,0)</f>
        <v>0</v>
      </c>
      <c r="L14" s="29">
        <f>SUM(L8:L12)</f>
        <v>0</v>
      </c>
      <c r="M14" s="30"/>
      <c r="N14" s="31"/>
      <c r="O14" s="32"/>
      <c r="P14" s="32"/>
    </row>
    <row r="15" spans="1:16" ht="13.5" thickBot="1" x14ac:dyDescent="0.4">
      <c r="F15" s="22"/>
      <c r="G15" s="22"/>
    </row>
    <row r="16" spans="1:16" x14ac:dyDescent="0.35">
      <c r="A16" s="48" t="s">
        <v>35</v>
      </c>
      <c r="B16" s="53">
        <f>+B12+3</f>
        <v>46307</v>
      </c>
      <c r="C16" s="59">
        <v>0</v>
      </c>
      <c r="D16" s="59">
        <v>0</v>
      </c>
      <c r="E16" s="59">
        <v>0</v>
      </c>
      <c r="F16" s="60">
        <v>0</v>
      </c>
      <c r="G16" s="60">
        <v>0</v>
      </c>
      <c r="H16" s="61">
        <f>F16-G16</f>
        <v>0</v>
      </c>
      <c r="I16" s="62">
        <f>IF(SUM(D16:E16),D16/SUM(D16:E16), 0%)</f>
        <v>0</v>
      </c>
      <c r="J16" s="58">
        <f>IF(D16&gt;0, F16/D16,0)</f>
        <v>0</v>
      </c>
      <c r="K16" s="58">
        <f>IF(E16&gt;0,G16/E16,0)</f>
        <v>0</v>
      </c>
      <c r="L16" s="50">
        <v>0</v>
      </c>
      <c r="N16" s="124"/>
    </row>
    <row r="17" spans="1:16" ht="15" customHeight="1" x14ac:dyDescent="0.35">
      <c r="A17" s="48" t="s">
        <v>36</v>
      </c>
      <c r="B17" s="53">
        <f>B16+1</f>
        <v>46308</v>
      </c>
      <c r="C17" s="59">
        <v>0</v>
      </c>
      <c r="D17" s="59">
        <v>0</v>
      </c>
      <c r="E17" s="59">
        <v>0</v>
      </c>
      <c r="F17" s="60">
        <v>0</v>
      </c>
      <c r="G17" s="60">
        <v>0</v>
      </c>
      <c r="H17" s="61">
        <f>F17-G17</f>
        <v>0</v>
      </c>
      <c r="I17" s="62">
        <f>IF(SUM(D17:E17),D17/SUM(D17:E17), 0%)</f>
        <v>0</v>
      </c>
      <c r="J17" s="63">
        <f>IF(D17&gt;0, F17/D17,0)</f>
        <v>0</v>
      </c>
      <c r="K17" s="63">
        <f>IF(E17&gt;0,G17/E17,0)</f>
        <v>0</v>
      </c>
      <c r="L17" s="33">
        <v>0</v>
      </c>
      <c r="N17" s="125"/>
      <c r="P17" s="34"/>
    </row>
    <row r="18" spans="1:16" ht="15" customHeight="1" x14ac:dyDescent="0.35">
      <c r="A18" s="48" t="s">
        <v>37</v>
      </c>
      <c r="B18" s="53">
        <f>B17+1</f>
        <v>46309</v>
      </c>
      <c r="C18" s="59">
        <v>0</v>
      </c>
      <c r="D18" s="59">
        <v>0</v>
      </c>
      <c r="E18" s="59">
        <v>0</v>
      </c>
      <c r="F18" s="60">
        <v>0</v>
      </c>
      <c r="G18" s="60">
        <v>0</v>
      </c>
      <c r="H18" s="61">
        <f>F18-G18</f>
        <v>0</v>
      </c>
      <c r="I18" s="62">
        <f>IF(SUM(D18:E18),D18/SUM(D18:E18), 0%)</f>
        <v>0</v>
      </c>
      <c r="J18" s="63">
        <f>IF(D18&gt;0, F18/D18,0)</f>
        <v>0</v>
      </c>
      <c r="K18" s="63">
        <f>IF(E18&gt;0,G18/E18,0)</f>
        <v>0</v>
      </c>
      <c r="L18" s="33">
        <v>0</v>
      </c>
      <c r="N18" s="125"/>
    </row>
    <row r="19" spans="1:16" ht="15" customHeight="1" x14ac:dyDescent="0.35">
      <c r="A19" s="48" t="s">
        <v>38</v>
      </c>
      <c r="B19" s="53">
        <f>B18+1</f>
        <v>46310</v>
      </c>
      <c r="C19" s="59">
        <v>0</v>
      </c>
      <c r="D19" s="59">
        <v>0</v>
      </c>
      <c r="E19" s="59">
        <v>0</v>
      </c>
      <c r="F19" s="60">
        <v>0</v>
      </c>
      <c r="G19" s="60">
        <v>0</v>
      </c>
      <c r="H19" s="61">
        <f>F19-G19</f>
        <v>0</v>
      </c>
      <c r="I19" s="62">
        <f>IF(SUM(D19:E19),D19/SUM(D19:E19), 0%)</f>
        <v>0</v>
      </c>
      <c r="J19" s="63">
        <f>IF(D19&gt;0, F19/D19,0)</f>
        <v>0</v>
      </c>
      <c r="K19" s="63">
        <f>IF(E19&gt;0,G19/E19,0)</f>
        <v>0</v>
      </c>
      <c r="L19" s="33">
        <v>0</v>
      </c>
      <c r="N19" s="125"/>
    </row>
    <row r="20" spans="1:16" ht="15.75" customHeight="1" thickBot="1" x14ac:dyDescent="0.4">
      <c r="A20" s="48" t="s">
        <v>39</v>
      </c>
      <c r="B20" s="53">
        <f>B19+1</f>
        <v>46311</v>
      </c>
      <c r="C20" s="59">
        <v>0</v>
      </c>
      <c r="D20" s="59">
        <v>0</v>
      </c>
      <c r="E20" s="59">
        <v>0</v>
      </c>
      <c r="F20" s="60">
        <v>0</v>
      </c>
      <c r="G20" s="60">
        <v>0</v>
      </c>
      <c r="H20" s="61">
        <f>F20-G20</f>
        <v>0</v>
      </c>
      <c r="I20" s="62">
        <f>IF(SUM(D20:E20),D20/SUM(D20:E20), 0%)</f>
        <v>0</v>
      </c>
      <c r="J20" s="63">
        <f>IF(D20&gt;0, F20/D20,0)</f>
        <v>0</v>
      </c>
      <c r="K20" s="63">
        <f>IF(E20&gt;0,G20/E20,0)</f>
        <v>0</v>
      </c>
      <c r="L20" s="35">
        <v>0</v>
      </c>
      <c r="N20" s="126"/>
    </row>
    <row r="21" spans="1:16" x14ac:dyDescent="0.35">
      <c r="F21" s="22"/>
      <c r="G21" s="22"/>
    </row>
    <row r="22" spans="1:16" x14ac:dyDescent="0.35">
      <c r="B22" s="42" t="s">
        <v>18</v>
      </c>
      <c r="C22" s="25">
        <f t="shared" ref="C22:H22" si="2">SUM(C16:C20)</f>
        <v>0</v>
      </c>
      <c r="D22" s="25">
        <f t="shared" si="2"/>
        <v>0</v>
      </c>
      <c r="E22" s="25">
        <f t="shared" si="2"/>
        <v>0</v>
      </c>
      <c r="F22" s="26">
        <f t="shared" si="2"/>
        <v>0</v>
      </c>
      <c r="G22" s="26">
        <f t="shared" si="2"/>
        <v>0</v>
      </c>
      <c r="H22" s="27">
        <f t="shared" si="2"/>
        <v>0</v>
      </c>
      <c r="I22" s="28">
        <f>IF(SUM(D22:E22),D22/SUM(D22:E22), 0%)</f>
        <v>0</v>
      </c>
      <c r="J22" s="26">
        <f>IF(D22&gt;0, F22/D22,0)</f>
        <v>0</v>
      </c>
      <c r="K22" s="26">
        <f>IF(E22&gt;0,G22/E22,0)</f>
        <v>0</v>
      </c>
      <c r="L22" s="29">
        <f>SUM(L16:L20)</f>
        <v>0</v>
      </c>
      <c r="M22" s="30"/>
      <c r="N22" s="31"/>
      <c r="O22" s="32"/>
      <c r="P22" s="32"/>
    </row>
    <row r="23" spans="1:16" ht="13.5" thickBot="1" x14ac:dyDescent="0.4">
      <c r="F23" s="22"/>
      <c r="G23" s="22"/>
    </row>
    <row r="24" spans="1:16" x14ac:dyDescent="0.35">
      <c r="A24" s="48" t="s">
        <v>35</v>
      </c>
      <c r="B24" s="53">
        <f>B20+3</f>
        <v>46314</v>
      </c>
      <c r="C24" s="59">
        <v>0</v>
      </c>
      <c r="D24" s="59">
        <v>0</v>
      </c>
      <c r="E24" s="59">
        <v>0</v>
      </c>
      <c r="F24" s="60">
        <v>0</v>
      </c>
      <c r="G24" s="60">
        <v>0</v>
      </c>
      <c r="H24" s="61">
        <f>F24-G24</f>
        <v>0</v>
      </c>
      <c r="I24" s="62">
        <f>IF(SUM(D24:E24),D24/SUM(D24:E24), 0%)</f>
        <v>0</v>
      </c>
      <c r="J24" s="58">
        <f>IF(D24&gt;0, F24/D24,0)</f>
        <v>0</v>
      </c>
      <c r="K24" s="58">
        <f>IF(E24&gt;0,G24/E24,0)</f>
        <v>0</v>
      </c>
      <c r="L24" s="50">
        <v>0</v>
      </c>
      <c r="N24" s="124"/>
    </row>
    <row r="25" spans="1:16" ht="15" customHeight="1" x14ac:dyDescent="0.35">
      <c r="A25" s="48" t="s">
        <v>36</v>
      </c>
      <c r="B25" s="53">
        <f>B24+1</f>
        <v>46315</v>
      </c>
      <c r="C25" s="59">
        <v>0</v>
      </c>
      <c r="D25" s="59">
        <v>0</v>
      </c>
      <c r="E25" s="59">
        <v>0</v>
      </c>
      <c r="F25" s="60">
        <v>0</v>
      </c>
      <c r="G25" s="60">
        <v>0</v>
      </c>
      <c r="H25" s="61">
        <f>F25-G25</f>
        <v>0</v>
      </c>
      <c r="I25" s="62">
        <f>IF(SUM(D25:E25),D25/SUM(D25:E25), 0%)</f>
        <v>0</v>
      </c>
      <c r="J25" s="63">
        <f>IF(D25&gt;0, F25/D25,0)</f>
        <v>0</v>
      </c>
      <c r="K25" s="63">
        <f>IF(E25&gt;0,G25/E25,0)</f>
        <v>0</v>
      </c>
      <c r="L25" s="33">
        <v>0</v>
      </c>
      <c r="N25" s="125"/>
    </row>
    <row r="26" spans="1:16" ht="15" customHeight="1" x14ac:dyDescent="0.35">
      <c r="A26" s="48" t="s">
        <v>37</v>
      </c>
      <c r="B26" s="53">
        <f>B25+1</f>
        <v>46316</v>
      </c>
      <c r="C26" s="59">
        <v>0</v>
      </c>
      <c r="D26" s="59">
        <v>0</v>
      </c>
      <c r="E26" s="59">
        <v>0</v>
      </c>
      <c r="F26" s="60">
        <v>0</v>
      </c>
      <c r="G26" s="60">
        <v>0</v>
      </c>
      <c r="H26" s="61">
        <f>F26-G26</f>
        <v>0</v>
      </c>
      <c r="I26" s="62">
        <f>IF(SUM(D26:E26),D26/SUM(D26:E26), 0%)</f>
        <v>0</v>
      </c>
      <c r="J26" s="63">
        <f>IF(D26&gt;0, F26/D26,0)</f>
        <v>0</v>
      </c>
      <c r="K26" s="63">
        <f>IF(E26&gt;0,G26/E26,0)</f>
        <v>0</v>
      </c>
      <c r="L26" s="33">
        <v>0</v>
      </c>
      <c r="N26" s="125"/>
    </row>
    <row r="27" spans="1:16" ht="15" customHeight="1" x14ac:dyDescent="0.35">
      <c r="A27" s="48" t="s">
        <v>38</v>
      </c>
      <c r="B27" s="53">
        <f>B26+1</f>
        <v>46317</v>
      </c>
      <c r="C27" s="59">
        <v>0</v>
      </c>
      <c r="D27" s="59">
        <v>0</v>
      </c>
      <c r="E27" s="59">
        <v>0</v>
      </c>
      <c r="F27" s="60">
        <v>0</v>
      </c>
      <c r="G27" s="60">
        <v>0</v>
      </c>
      <c r="H27" s="61">
        <f>F27-G27</f>
        <v>0</v>
      </c>
      <c r="I27" s="62">
        <f>IF(SUM(D27:E27),D27/SUM(D27:E27), 0%)</f>
        <v>0</v>
      </c>
      <c r="J27" s="63">
        <f>IF(D27&gt;0, F27/D27,0)</f>
        <v>0</v>
      </c>
      <c r="K27" s="63">
        <f>IF(E27&gt;0,G27/E27,0)</f>
        <v>0</v>
      </c>
      <c r="L27" s="33">
        <v>0</v>
      </c>
      <c r="N27" s="125"/>
    </row>
    <row r="28" spans="1:16" ht="15.75" customHeight="1" thickBot="1" x14ac:dyDescent="0.4">
      <c r="A28" s="48" t="s">
        <v>39</v>
      </c>
      <c r="B28" s="53">
        <f>B27+1</f>
        <v>46318</v>
      </c>
      <c r="C28" s="59">
        <v>0</v>
      </c>
      <c r="D28" s="59">
        <v>0</v>
      </c>
      <c r="E28" s="59">
        <v>0</v>
      </c>
      <c r="F28" s="60">
        <v>0</v>
      </c>
      <c r="G28" s="60">
        <v>0</v>
      </c>
      <c r="H28" s="61">
        <f>F28-G28</f>
        <v>0</v>
      </c>
      <c r="I28" s="62">
        <f>IF(SUM(D28:E28),D28/SUM(D28:E28), 0%)</f>
        <v>0</v>
      </c>
      <c r="J28" s="63">
        <f>IF(D28&gt;0, F28/D28,0)</f>
        <v>0</v>
      </c>
      <c r="K28" s="63">
        <f>IF(E28&gt;0,G28/E28,0)</f>
        <v>0</v>
      </c>
      <c r="L28" s="35">
        <v>0</v>
      </c>
      <c r="N28" s="126"/>
    </row>
    <row r="29" spans="1:16" x14ac:dyDescent="0.35">
      <c r="F29" s="22"/>
      <c r="G29" s="22"/>
    </row>
    <row r="30" spans="1:16" x14ac:dyDescent="0.35">
      <c r="B30" s="42" t="s">
        <v>18</v>
      </c>
      <c r="C30" s="25">
        <f t="shared" ref="C30:H30" si="3">SUM(C24:C28)</f>
        <v>0</v>
      </c>
      <c r="D30" s="25">
        <f t="shared" si="3"/>
        <v>0</v>
      </c>
      <c r="E30" s="25">
        <f t="shared" si="3"/>
        <v>0</v>
      </c>
      <c r="F30" s="26">
        <f t="shared" si="3"/>
        <v>0</v>
      </c>
      <c r="G30" s="26">
        <f t="shared" si="3"/>
        <v>0</v>
      </c>
      <c r="H30" s="27">
        <f t="shared" si="3"/>
        <v>0</v>
      </c>
      <c r="I30" s="28">
        <f>IF(SUM(D30:E30),D30/SUM(D30:E30), 0%)</f>
        <v>0</v>
      </c>
      <c r="J30" s="26">
        <f>IF(D30&gt;0, F30/D30,0)</f>
        <v>0</v>
      </c>
      <c r="K30" s="26">
        <f>IF(E30&gt;0,G30/E30,0)</f>
        <v>0</v>
      </c>
      <c r="L30" s="29">
        <f>SUM(L24:L28)</f>
        <v>0</v>
      </c>
      <c r="M30" s="30"/>
      <c r="N30" s="31"/>
      <c r="O30" s="32"/>
      <c r="P30" s="32"/>
    </row>
    <row r="31" spans="1:16" ht="13.5" thickBot="1" x14ac:dyDescent="0.4">
      <c r="F31" s="22"/>
      <c r="G31" s="22"/>
    </row>
    <row r="32" spans="1:16" x14ac:dyDescent="0.35">
      <c r="A32" s="48" t="s">
        <v>35</v>
      </c>
      <c r="B32" s="53">
        <f>B28+3</f>
        <v>46321</v>
      </c>
      <c r="C32" s="59">
        <v>0</v>
      </c>
      <c r="D32" s="59">
        <v>0</v>
      </c>
      <c r="E32" s="59">
        <v>0</v>
      </c>
      <c r="F32" s="60">
        <v>0</v>
      </c>
      <c r="G32" s="60">
        <v>0</v>
      </c>
      <c r="H32" s="61">
        <f>F32-G32</f>
        <v>0</v>
      </c>
      <c r="I32" s="62">
        <f>IF(SUM(D32:E32),D32/SUM(D32:E32), 0%)</f>
        <v>0</v>
      </c>
      <c r="J32" s="58">
        <f>IF(D32&gt;0, F32/D32,0)</f>
        <v>0</v>
      </c>
      <c r="K32" s="58">
        <f>IF(E32&gt;0,G32/E32,0)</f>
        <v>0</v>
      </c>
      <c r="L32" s="50">
        <v>0</v>
      </c>
      <c r="N32" s="124"/>
    </row>
    <row r="33" spans="1:16" ht="15" customHeight="1" x14ac:dyDescent="0.35">
      <c r="A33" s="48" t="s">
        <v>36</v>
      </c>
      <c r="B33" s="53">
        <f>B32+1</f>
        <v>46322</v>
      </c>
      <c r="C33" s="59">
        <v>0</v>
      </c>
      <c r="D33" s="59">
        <v>0</v>
      </c>
      <c r="E33" s="59">
        <v>0</v>
      </c>
      <c r="F33" s="60">
        <v>0</v>
      </c>
      <c r="G33" s="60">
        <v>0</v>
      </c>
      <c r="H33" s="61">
        <f>F33-G33</f>
        <v>0</v>
      </c>
      <c r="I33" s="62">
        <f>IF(SUM(D33:E33),D33/SUM(D33:E33), 0%)</f>
        <v>0</v>
      </c>
      <c r="J33" s="63">
        <f>IF(D33&gt;0, F33/D33,0)</f>
        <v>0</v>
      </c>
      <c r="K33" s="63">
        <f>IF(E33&gt;0,G33/E33,0)</f>
        <v>0</v>
      </c>
      <c r="L33" s="33">
        <v>0</v>
      </c>
      <c r="N33" s="125"/>
    </row>
    <row r="34" spans="1:16" ht="15" customHeight="1" x14ac:dyDescent="0.35">
      <c r="A34" s="48" t="s">
        <v>37</v>
      </c>
      <c r="B34" s="53">
        <f>B33+1</f>
        <v>46323</v>
      </c>
      <c r="C34" s="59">
        <v>0</v>
      </c>
      <c r="D34" s="59">
        <v>0</v>
      </c>
      <c r="E34" s="59">
        <v>0</v>
      </c>
      <c r="F34" s="60">
        <v>0</v>
      </c>
      <c r="G34" s="60">
        <v>0</v>
      </c>
      <c r="H34" s="61">
        <f>F34-G34</f>
        <v>0</v>
      </c>
      <c r="I34" s="62">
        <f>IF(SUM(D34:E34),D34/SUM(D34:E34), 0%)</f>
        <v>0</v>
      </c>
      <c r="J34" s="63">
        <f>IF(D34&gt;0, F34/D34,0)</f>
        <v>0</v>
      </c>
      <c r="K34" s="63">
        <f>IF(E34&gt;0,G34/E34,0)</f>
        <v>0</v>
      </c>
      <c r="L34" s="33">
        <v>0</v>
      </c>
      <c r="N34" s="125"/>
    </row>
    <row r="35" spans="1:16" ht="15" customHeight="1" x14ac:dyDescent="0.35">
      <c r="A35" s="48" t="s">
        <v>38</v>
      </c>
      <c r="B35" s="53">
        <f>B34+1</f>
        <v>46324</v>
      </c>
      <c r="C35" s="59">
        <v>0</v>
      </c>
      <c r="D35" s="59">
        <v>0</v>
      </c>
      <c r="E35" s="59">
        <v>0</v>
      </c>
      <c r="F35" s="60">
        <v>0</v>
      </c>
      <c r="G35" s="60">
        <v>0</v>
      </c>
      <c r="H35" s="61">
        <f>F35-G35</f>
        <v>0</v>
      </c>
      <c r="I35" s="62">
        <f>IF(SUM(D35:E35),D35/SUM(D35:E35), 0%)</f>
        <v>0</v>
      </c>
      <c r="J35" s="63">
        <f>IF(D35&gt;0, F35/D35,0)</f>
        <v>0</v>
      </c>
      <c r="K35" s="63">
        <f>IF(E35&gt;0,G35/E35,0)</f>
        <v>0</v>
      </c>
      <c r="L35" s="33">
        <v>0</v>
      </c>
      <c r="N35" s="125"/>
    </row>
    <row r="36" spans="1:16" ht="15.75" customHeight="1" thickBot="1" x14ac:dyDescent="0.4">
      <c r="A36" s="48" t="s">
        <v>39</v>
      </c>
      <c r="B36" s="53">
        <f>B35+1</f>
        <v>46325</v>
      </c>
      <c r="C36" s="59">
        <v>0</v>
      </c>
      <c r="D36" s="59">
        <v>0</v>
      </c>
      <c r="E36" s="59">
        <v>0</v>
      </c>
      <c r="F36" s="60">
        <v>0</v>
      </c>
      <c r="G36" s="60">
        <v>0</v>
      </c>
      <c r="H36" s="61">
        <f>F36-G36</f>
        <v>0</v>
      </c>
      <c r="I36" s="62">
        <f>IF(SUM(D36:E36),D36/SUM(D36:E36), 0%)</f>
        <v>0</v>
      </c>
      <c r="J36" s="63">
        <f>IF(D36&gt;0, F36/D36,0)</f>
        <v>0</v>
      </c>
      <c r="K36" s="63">
        <f>IF(E36&gt;0,G36/E36,0)</f>
        <v>0</v>
      </c>
      <c r="L36" s="35">
        <v>0</v>
      </c>
      <c r="N36" s="126"/>
    </row>
    <row r="37" spans="1:16" x14ac:dyDescent="0.35">
      <c r="F37" s="22"/>
      <c r="G37" s="22"/>
    </row>
    <row r="38" spans="1:16" x14ac:dyDescent="0.35">
      <c r="B38" s="42" t="s">
        <v>18</v>
      </c>
      <c r="C38" s="25">
        <f t="shared" ref="C38:H38" si="4">SUM(C32:C36)</f>
        <v>0</v>
      </c>
      <c r="D38" s="25">
        <f t="shared" si="4"/>
        <v>0</v>
      </c>
      <c r="E38" s="25">
        <f t="shared" si="4"/>
        <v>0</v>
      </c>
      <c r="F38" s="26">
        <f t="shared" si="4"/>
        <v>0</v>
      </c>
      <c r="G38" s="26">
        <f t="shared" si="4"/>
        <v>0</v>
      </c>
      <c r="H38" s="27">
        <f t="shared" si="4"/>
        <v>0</v>
      </c>
      <c r="I38" s="28">
        <f>IF(SUM(D38:E38),D38/SUM(D38:E38), 0%)</f>
        <v>0</v>
      </c>
      <c r="J38" s="26">
        <f>IF(D38&gt;0, F38/D38,0)</f>
        <v>0</v>
      </c>
      <c r="K38" s="26">
        <f>IF(E38&gt;0,G38/E38,0)</f>
        <v>0</v>
      </c>
      <c r="L38" s="29">
        <f>SUM(L32:L36)</f>
        <v>0</v>
      </c>
      <c r="M38" s="30"/>
      <c r="N38" s="31"/>
      <c r="O38" s="32"/>
      <c r="P38" s="32"/>
    </row>
    <row r="39" spans="1:16" x14ac:dyDescent="0.35">
      <c r="B39" s="42"/>
      <c r="C39" s="25"/>
      <c r="D39" s="25"/>
      <c r="E39" s="25"/>
      <c r="F39" s="26"/>
      <c r="G39" s="26"/>
      <c r="H39" s="27"/>
      <c r="I39" s="28"/>
      <c r="J39" s="26"/>
      <c r="K39" s="26"/>
      <c r="L39" s="29"/>
      <c r="M39" s="30"/>
      <c r="N39" s="31"/>
      <c r="O39" s="32"/>
      <c r="P39" s="32"/>
    </row>
    <row r="40" spans="1:16" ht="13.5" thickBot="1" x14ac:dyDescent="0.4"/>
    <row r="41" spans="1:16" x14ac:dyDescent="0.35">
      <c r="A41" s="48" t="s">
        <v>35</v>
      </c>
      <c r="B41" s="53">
        <v>45957</v>
      </c>
      <c r="C41" s="59">
        <v>0</v>
      </c>
      <c r="D41" s="59">
        <v>0</v>
      </c>
      <c r="E41" s="59">
        <v>0</v>
      </c>
      <c r="F41" s="60">
        <v>0</v>
      </c>
      <c r="G41" s="60">
        <v>0</v>
      </c>
      <c r="H41" s="61">
        <f>F41-G41</f>
        <v>0</v>
      </c>
      <c r="I41" s="62">
        <f>IF(SUM(D41:E41),D41/SUM(D41:E41), 0%)</f>
        <v>0</v>
      </c>
      <c r="J41" s="58">
        <f>IF(D41&gt;0, F41/D41,0)</f>
        <v>0</v>
      </c>
      <c r="K41" s="58">
        <f>IF(E41&gt;0,G41/E41,0)</f>
        <v>0</v>
      </c>
      <c r="L41" s="50">
        <v>0</v>
      </c>
      <c r="N41" s="124"/>
    </row>
    <row r="42" spans="1:16" ht="15" customHeight="1" x14ac:dyDescent="0.35">
      <c r="A42" s="48" t="s">
        <v>36</v>
      </c>
      <c r="B42" s="53">
        <f>B41+1</f>
        <v>45958</v>
      </c>
      <c r="C42" s="59">
        <v>0</v>
      </c>
      <c r="D42" s="59">
        <v>0</v>
      </c>
      <c r="E42" s="59">
        <v>0</v>
      </c>
      <c r="F42" s="60">
        <v>0</v>
      </c>
      <c r="G42" s="60">
        <v>0</v>
      </c>
      <c r="H42" s="61">
        <f>F42-G42</f>
        <v>0</v>
      </c>
      <c r="I42" s="62">
        <f>IF(SUM(D42:E42),D42/SUM(D42:E42), 0%)</f>
        <v>0</v>
      </c>
      <c r="J42" s="63">
        <f>IF(D42&gt;0, F42/D42,0)</f>
        <v>0</v>
      </c>
      <c r="K42" s="63">
        <f>IF(E42&gt;0,G42/E42,0)</f>
        <v>0</v>
      </c>
      <c r="L42" s="33">
        <v>0</v>
      </c>
      <c r="N42" s="125"/>
      <c r="P42" s="34"/>
    </row>
    <row r="43" spans="1:16" ht="15" customHeight="1" x14ac:dyDescent="0.35">
      <c r="A43" s="48" t="s">
        <v>37</v>
      </c>
      <c r="B43" s="53">
        <f>B42+1</f>
        <v>45959</v>
      </c>
      <c r="C43" s="59">
        <v>0</v>
      </c>
      <c r="D43" s="59">
        <v>0</v>
      </c>
      <c r="E43" s="59">
        <v>0</v>
      </c>
      <c r="F43" s="60">
        <v>0</v>
      </c>
      <c r="G43" s="60">
        <v>0</v>
      </c>
      <c r="H43" s="61">
        <f>F43-G43</f>
        <v>0</v>
      </c>
      <c r="I43" s="62">
        <f>IF(SUM(D43:E43),D43/SUM(D43:E43), 0%)</f>
        <v>0</v>
      </c>
      <c r="J43" s="63">
        <f>IF(D43&gt;0, F43/D43,0)</f>
        <v>0</v>
      </c>
      <c r="K43" s="63">
        <f>IF(E43&gt;0,G43/E43,0)</f>
        <v>0</v>
      </c>
      <c r="L43" s="33">
        <v>0</v>
      </c>
      <c r="N43" s="125"/>
    </row>
    <row r="44" spans="1:16" ht="15" customHeight="1" x14ac:dyDescent="0.35">
      <c r="A44" s="48" t="s">
        <v>38</v>
      </c>
      <c r="B44" s="53">
        <f>B43+1</f>
        <v>45960</v>
      </c>
      <c r="C44" s="59">
        <v>0</v>
      </c>
      <c r="D44" s="59">
        <v>0</v>
      </c>
      <c r="E44" s="59">
        <v>0</v>
      </c>
      <c r="F44" s="60">
        <v>0</v>
      </c>
      <c r="G44" s="60">
        <v>0</v>
      </c>
      <c r="H44" s="61">
        <f>F44-G44</f>
        <v>0</v>
      </c>
      <c r="I44" s="62">
        <f>IF(SUM(D44:E44),D44/SUM(D44:E44), 0%)</f>
        <v>0</v>
      </c>
      <c r="J44" s="63">
        <f>IF(D44&gt;0, F44/D44,0)</f>
        <v>0</v>
      </c>
      <c r="K44" s="63">
        <f>IF(E44&gt;0,G44/E44,0)</f>
        <v>0</v>
      </c>
      <c r="L44" s="33">
        <v>0</v>
      </c>
      <c r="N44" s="125"/>
    </row>
    <row r="45" spans="1:16" ht="15.75" customHeight="1" thickBot="1" x14ac:dyDescent="0.4">
      <c r="A45" s="48" t="s">
        <v>39</v>
      </c>
      <c r="B45" s="53">
        <f>B44+1</f>
        <v>45961</v>
      </c>
      <c r="C45" s="59">
        <v>0</v>
      </c>
      <c r="D45" s="59">
        <v>0</v>
      </c>
      <c r="E45" s="59">
        <v>0</v>
      </c>
      <c r="F45" s="60">
        <v>0</v>
      </c>
      <c r="G45" s="60">
        <v>0</v>
      </c>
      <c r="H45" s="61">
        <f>F45-G45</f>
        <v>0</v>
      </c>
      <c r="I45" s="62">
        <f>IF(SUM(D45:E45),D45/SUM(D45:E45), 0%)</f>
        <v>0</v>
      </c>
      <c r="J45" s="63">
        <f>IF(D45&gt;0, F45/D45,0)</f>
        <v>0</v>
      </c>
      <c r="K45" s="63">
        <f>IF(E45&gt;0,G45/E45,0)</f>
        <v>0</v>
      </c>
      <c r="L45" s="35">
        <v>0</v>
      </c>
      <c r="N45" s="126"/>
    </row>
    <row r="47" spans="1:16" x14ac:dyDescent="0.35">
      <c r="B47" s="42" t="s">
        <v>18</v>
      </c>
      <c r="C47" s="25">
        <f t="shared" ref="C47:H47" si="5">SUM(C41:C45)</f>
        <v>0</v>
      </c>
      <c r="D47" s="25">
        <f t="shared" si="5"/>
        <v>0</v>
      </c>
      <c r="E47" s="25">
        <f t="shared" si="5"/>
        <v>0</v>
      </c>
      <c r="F47" s="26">
        <f t="shared" si="5"/>
        <v>0</v>
      </c>
      <c r="G47" s="26">
        <f t="shared" si="5"/>
        <v>0</v>
      </c>
      <c r="H47" s="27">
        <f t="shared" si="5"/>
        <v>0</v>
      </c>
      <c r="I47" s="28">
        <f>IF(SUM(D47:E47),D47/SUM(D47:E47), 0%)</f>
        <v>0</v>
      </c>
      <c r="J47" s="26">
        <f>IF(D47&gt;0, F47/D47,0)</f>
        <v>0</v>
      </c>
      <c r="K47" s="26">
        <f>IF(E47&gt;0,G47/E47,0)</f>
        <v>0</v>
      </c>
      <c r="L47" s="29">
        <f>SUM(L41:L45)</f>
        <v>0</v>
      </c>
      <c r="M47" s="30"/>
      <c r="N47" s="31"/>
      <c r="O47" s="32"/>
      <c r="P47" s="32"/>
    </row>
    <row r="48" spans="1:16" x14ac:dyDescent="0.35">
      <c r="B48" s="42"/>
      <c r="C48" s="25"/>
      <c r="D48" s="25"/>
      <c r="E48" s="25"/>
      <c r="F48" s="26"/>
      <c r="G48" s="26"/>
      <c r="H48" s="27"/>
      <c r="I48" s="28"/>
      <c r="J48" s="26"/>
      <c r="K48" s="26"/>
      <c r="L48" s="29"/>
      <c r="M48" s="30"/>
      <c r="N48" s="31"/>
      <c r="O48" s="32"/>
      <c r="P48" s="32"/>
    </row>
    <row r="49" spans="2:14" x14ac:dyDescent="0.35">
      <c r="B49" s="39" t="s">
        <v>19</v>
      </c>
      <c r="C49" s="10">
        <f>C14+C22+C38+C30+C47</f>
        <v>0</v>
      </c>
      <c r="D49" s="10">
        <f t="shared" ref="D49:K49" si="6">D14+D22+D38+D30+D47</f>
        <v>0</v>
      </c>
      <c r="E49" s="10">
        <f t="shared" si="6"/>
        <v>0</v>
      </c>
      <c r="F49" s="10">
        <f t="shared" si="6"/>
        <v>0</v>
      </c>
      <c r="G49" s="10">
        <f t="shared" si="6"/>
        <v>0</v>
      </c>
      <c r="H49" s="10">
        <f>H14+H22+H38+H30+H47</f>
        <v>0</v>
      </c>
      <c r="I49" s="120">
        <f>(I14+I22+I38+I30+I47)/5</f>
        <v>0</v>
      </c>
      <c r="J49" s="10">
        <f>J14+J22+J38+J30+J47</f>
        <v>0</v>
      </c>
      <c r="K49" s="10">
        <f t="shared" si="6"/>
        <v>0</v>
      </c>
      <c r="L49" s="13" t="e">
        <f>L14+L22+L30+L38+#REF!</f>
        <v>#REF!</v>
      </c>
      <c r="M49" s="36"/>
      <c r="N49" s="37"/>
    </row>
  </sheetData>
  <mergeCells count="8">
    <mergeCell ref="N41:N45"/>
    <mergeCell ref="N32:N36"/>
    <mergeCell ref="G1:G3"/>
    <mergeCell ref="B1:D1"/>
    <mergeCell ref="B2:D2"/>
    <mergeCell ref="N8:N12"/>
    <mergeCell ref="N16:N20"/>
    <mergeCell ref="N24:N28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B1:Q49"/>
  <sheetViews>
    <sheetView zoomScale="80" zoomScaleNormal="80" workbookViewId="0">
      <pane ySplit="6" topLeftCell="A28" activePane="bottomLeft" state="frozen"/>
      <selection pane="bottomLeft" activeCell="H54" sqref="H54"/>
    </sheetView>
  </sheetViews>
  <sheetFormatPr baseColWidth="10" defaultColWidth="9.1796875" defaultRowHeight="13" x14ac:dyDescent="0.35"/>
  <cols>
    <col min="1" max="1" width="3" style="1" customWidth="1"/>
    <col min="2" max="2" width="9.453125" style="47" bestFit="1" customWidth="1"/>
    <col min="3" max="3" width="13.54296875" style="41" bestFit="1" customWidth="1"/>
    <col min="4" max="4" width="11.26953125" style="21" bestFit="1" customWidth="1"/>
    <col min="5" max="5" width="14" style="21" bestFit="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2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2:17" x14ac:dyDescent="0.35">
      <c r="C2" s="123" t="s">
        <v>1</v>
      </c>
      <c r="D2" s="123"/>
      <c r="E2" s="123"/>
      <c r="F2" s="49">
        <f>I49*5*F3</f>
        <v>0</v>
      </c>
      <c r="G2" s="5">
        <f>-D49*D3*F3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2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2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2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2:17" x14ac:dyDescent="0.35">
      <c r="B8" s="48" t="s">
        <v>35</v>
      </c>
      <c r="C8" s="53">
        <v>46328</v>
      </c>
      <c r="D8" s="59">
        <v>0</v>
      </c>
      <c r="E8" s="59">
        <v>0</v>
      </c>
      <c r="F8" s="59">
        <v>0</v>
      </c>
      <c r="G8" s="60">
        <v>0</v>
      </c>
      <c r="H8" s="60">
        <v>0</v>
      </c>
      <c r="I8" s="61">
        <f>G8-H8</f>
        <v>0</v>
      </c>
      <c r="J8" s="62">
        <f>IF(SUM(E8:F8),E8/SUM(E8:F8), 0%)</f>
        <v>0</v>
      </c>
      <c r="K8" s="58">
        <f>IF(E8&gt;0, G8/E8,0)</f>
        <v>0</v>
      </c>
      <c r="L8" s="58">
        <f>IF(F8&gt;0,H8/F8,0)</f>
        <v>0</v>
      </c>
      <c r="M8" s="50">
        <v>0</v>
      </c>
      <c r="O8" s="124"/>
    </row>
    <row r="9" spans="2:17" ht="15" customHeight="1" x14ac:dyDescent="0.35">
      <c r="B9" s="48" t="s">
        <v>36</v>
      </c>
      <c r="C9" s="53">
        <f>C8+1</f>
        <v>46329</v>
      </c>
      <c r="D9" s="59">
        <v>0</v>
      </c>
      <c r="E9" s="59">
        <v>0</v>
      </c>
      <c r="F9" s="59">
        <v>0</v>
      </c>
      <c r="G9" s="60">
        <v>0</v>
      </c>
      <c r="H9" s="60">
        <v>0</v>
      </c>
      <c r="I9" s="61">
        <f>G9-H9</f>
        <v>0</v>
      </c>
      <c r="J9" s="62">
        <f>IF(SUM(E9:F9),E9/SUM(E9:F9), 0%)</f>
        <v>0</v>
      </c>
      <c r="K9" s="63">
        <f>IF(E9&gt;0, G9/E9,0)</f>
        <v>0</v>
      </c>
      <c r="L9" s="63">
        <f>IF(F9&gt;0,H9/F9,0)</f>
        <v>0</v>
      </c>
      <c r="M9" s="33">
        <v>0</v>
      </c>
      <c r="O9" s="125"/>
      <c r="Q9" s="34"/>
    </row>
    <row r="10" spans="2:17" ht="15" customHeight="1" x14ac:dyDescent="0.35">
      <c r="B10" s="48" t="s">
        <v>37</v>
      </c>
      <c r="C10" s="53">
        <f>C9+1</f>
        <v>46330</v>
      </c>
      <c r="D10" s="59">
        <v>0</v>
      </c>
      <c r="E10" s="59">
        <v>0</v>
      </c>
      <c r="F10" s="59">
        <v>0</v>
      </c>
      <c r="G10" s="60">
        <v>0</v>
      </c>
      <c r="H10" s="60">
        <v>0</v>
      </c>
      <c r="I10" s="61">
        <f>G10-H10</f>
        <v>0</v>
      </c>
      <c r="J10" s="62">
        <f>IF(SUM(E10:F10),E10/SUM(E10:F10), 0%)</f>
        <v>0</v>
      </c>
      <c r="K10" s="63">
        <f>IF(E10&gt;0, G10/E10,0)</f>
        <v>0</v>
      </c>
      <c r="L10" s="63">
        <f>IF(F10&gt;0,H10/F10,0)</f>
        <v>0</v>
      </c>
      <c r="M10" s="33">
        <v>0</v>
      </c>
      <c r="O10" s="125"/>
    </row>
    <row r="11" spans="2:17" ht="15" customHeight="1" x14ac:dyDescent="0.35">
      <c r="B11" s="48" t="s">
        <v>38</v>
      </c>
      <c r="C11" s="53">
        <f>C10+1</f>
        <v>46331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1">
        <f>G11-H11</f>
        <v>0</v>
      </c>
      <c r="J11" s="62">
        <f>IF(SUM(E11:F11),E11/SUM(E11:F11), 0%)</f>
        <v>0</v>
      </c>
      <c r="K11" s="63">
        <f>IF(E11&gt;0, G11/E11,0)</f>
        <v>0</v>
      </c>
      <c r="L11" s="63">
        <f>IF(F11&gt;0,H11/F11,0)</f>
        <v>0</v>
      </c>
      <c r="M11" s="33">
        <v>0</v>
      </c>
      <c r="O11" s="125"/>
    </row>
    <row r="12" spans="2:17" ht="15.75" customHeight="1" thickBot="1" x14ac:dyDescent="0.4">
      <c r="B12" s="48" t="s">
        <v>39</v>
      </c>
      <c r="C12" s="53">
        <f>C11+1</f>
        <v>46332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1">
        <f>G12-H12</f>
        <v>0</v>
      </c>
      <c r="J12" s="62">
        <f>IF(SUM(E12:F12),E12/SUM(E12:F12), 0%)</f>
        <v>0</v>
      </c>
      <c r="K12" s="63">
        <f>IF(E12&gt;0, G12/E12,0)</f>
        <v>0</v>
      </c>
      <c r="L12" s="63">
        <f>IF(F12&gt;0,H12/F12,0)</f>
        <v>0</v>
      </c>
      <c r="M12" s="35">
        <v>0</v>
      </c>
      <c r="O12" s="126"/>
    </row>
    <row r="13" spans="2:17" x14ac:dyDescent="0.35">
      <c r="G13" s="22"/>
      <c r="H13" s="22"/>
    </row>
    <row r="14" spans="2:17" x14ac:dyDescent="0.35">
      <c r="C14" s="42" t="s">
        <v>18</v>
      </c>
      <c r="D14" s="25">
        <f t="shared" ref="D14:I14" si="0">SUM(D8:D12)</f>
        <v>0</v>
      </c>
      <c r="E14" s="25">
        <f t="shared" si="0"/>
        <v>0</v>
      </c>
      <c r="F14" s="25">
        <f t="shared" si="0"/>
        <v>0</v>
      </c>
      <c r="G14" s="26">
        <f t="shared" si="0"/>
        <v>0</v>
      </c>
      <c r="H14" s="26">
        <f t="shared" si="0"/>
        <v>0</v>
      </c>
      <c r="I14" s="27">
        <f t="shared" si="0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2:17" ht="13.5" thickBot="1" x14ac:dyDescent="0.4">
      <c r="G15" s="22"/>
      <c r="H15" s="22"/>
    </row>
    <row r="16" spans="2:17" x14ac:dyDescent="0.35">
      <c r="B16" s="48" t="s">
        <v>35</v>
      </c>
      <c r="C16" s="53">
        <f>C12+3</f>
        <v>46335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2:17" ht="15" customHeight="1" x14ac:dyDescent="0.35">
      <c r="B17" s="48" t="s">
        <v>36</v>
      </c>
      <c r="C17" s="53">
        <f>C16+1</f>
        <v>46336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</row>
    <row r="18" spans="2:17" ht="15" customHeight="1" x14ac:dyDescent="0.35">
      <c r="B18" s="48" t="s">
        <v>37</v>
      </c>
      <c r="C18" s="53">
        <f>C17+1</f>
        <v>46337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2:17" ht="15" customHeight="1" x14ac:dyDescent="0.35">
      <c r="B19" s="48" t="s">
        <v>38</v>
      </c>
      <c r="C19" s="53">
        <f>C18+1</f>
        <v>46338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2:17" ht="15.75" customHeight="1" thickBot="1" x14ac:dyDescent="0.4">
      <c r="B20" s="48" t="s">
        <v>39</v>
      </c>
      <c r="C20" s="53">
        <f>C19+1</f>
        <v>46339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2:17" x14ac:dyDescent="0.35">
      <c r="G21" s="22"/>
      <c r="H21" s="22"/>
    </row>
    <row r="22" spans="2:17" x14ac:dyDescent="0.35">
      <c r="C22" s="42" t="s">
        <v>18</v>
      </c>
      <c r="D22" s="25">
        <f t="shared" ref="D22:I22" si="1">SUM(D16:D20)</f>
        <v>0</v>
      </c>
      <c r="E22" s="25">
        <f t="shared" si="1"/>
        <v>0</v>
      </c>
      <c r="F22" s="25">
        <f t="shared" si="1"/>
        <v>0</v>
      </c>
      <c r="G22" s="26">
        <f t="shared" si="1"/>
        <v>0</v>
      </c>
      <c r="H22" s="26">
        <f t="shared" si="1"/>
        <v>0</v>
      </c>
      <c r="I22" s="27">
        <f t="shared" si="1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2:17" ht="13.5" thickBot="1" x14ac:dyDescent="0.4">
      <c r="G23" s="22"/>
      <c r="H23" s="22"/>
    </row>
    <row r="24" spans="2:17" x14ac:dyDescent="0.35">
      <c r="B24" s="48" t="s">
        <v>35</v>
      </c>
      <c r="C24" s="53">
        <f>C20+3</f>
        <v>46342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2:17" ht="15" customHeight="1" x14ac:dyDescent="0.35">
      <c r="B25" s="48" t="s">
        <v>36</v>
      </c>
      <c r="C25" s="53">
        <f>C24+1</f>
        <v>46343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2:17" ht="15" customHeight="1" x14ac:dyDescent="0.35">
      <c r="B26" s="48" t="s">
        <v>37</v>
      </c>
      <c r="C26" s="53">
        <f>C25+1</f>
        <v>46344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2:17" ht="15" customHeight="1" x14ac:dyDescent="0.35">
      <c r="B27" s="48" t="s">
        <v>38</v>
      </c>
      <c r="C27" s="53">
        <f>C26+1</f>
        <v>46345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2:17" ht="15.75" customHeight="1" thickBot="1" x14ac:dyDescent="0.4">
      <c r="B28" s="48" t="s">
        <v>39</v>
      </c>
      <c r="C28" s="53">
        <f>C27+1</f>
        <v>46346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2:17" x14ac:dyDescent="0.35">
      <c r="G29" s="22"/>
      <c r="H29" s="22"/>
    </row>
    <row r="30" spans="2:17" x14ac:dyDescent="0.35">
      <c r="C30" s="42" t="s">
        <v>18</v>
      </c>
      <c r="D30" s="25">
        <f t="shared" ref="D30:I30" si="2">SUM(D24:D28)</f>
        <v>0</v>
      </c>
      <c r="E30" s="25">
        <f t="shared" si="2"/>
        <v>0</v>
      </c>
      <c r="F30" s="25">
        <f t="shared" si="2"/>
        <v>0</v>
      </c>
      <c r="G30" s="26">
        <f t="shared" si="2"/>
        <v>0</v>
      </c>
      <c r="H30" s="26">
        <f t="shared" si="2"/>
        <v>0</v>
      </c>
      <c r="I30" s="27">
        <f t="shared" si="2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2:17" ht="13.5" thickBot="1" x14ac:dyDescent="0.4">
      <c r="G31" s="22"/>
      <c r="H31" s="22"/>
    </row>
    <row r="32" spans="2:17" x14ac:dyDescent="0.35">
      <c r="B32" s="48" t="s">
        <v>35</v>
      </c>
      <c r="C32" s="53">
        <f>C28+3</f>
        <v>46349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46350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46351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77" t="s">
        <v>38</v>
      </c>
      <c r="C35" s="78">
        <f>+C34+1</f>
        <v>46352</v>
      </c>
      <c r="D35" s="79">
        <v>0</v>
      </c>
      <c r="E35" s="79">
        <v>0</v>
      </c>
      <c r="F35" s="79">
        <v>0</v>
      </c>
      <c r="G35" s="80">
        <v>0</v>
      </c>
      <c r="H35" s="80">
        <v>0</v>
      </c>
      <c r="I35" s="73">
        <f>G35-H35</f>
        <v>0</v>
      </c>
      <c r="J35" s="71">
        <f>IF(SUM(E35:F35),E35/SUM(E35:F35), 0%)</f>
        <v>0</v>
      </c>
      <c r="K35" s="72">
        <f>IF(E35&gt;0, G35/E35,0)</f>
        <v>0</v>
      </c>
      <c r="L35" s="72">
        <f>IF(F35&gt;0,H35/F35,0)</f>
        <v>0</v>
      </c>
      <c r="M35" s="33">
        <v>0</v>
      </c>
      <c r="O35" s="125"/>
    </row>
    <row r="36" spans="2:17" ht="15.75" customHeight="1" thickBot="1" x14ac:dyDescent="0.4">
      <c r="B36" s="77" t="s">
        <v>39</v>
      </c>
      <c r="C36" s="78">
        <f>+C35+1</f>
        <v>46353</v>
      </c>
      <c r="D36" s="79">
        <v>0</v>
      </c>
      <c r="E36" s="79">
        <v>0</v>
      </c>
      <c r="F36" s="79">
        <v>0</v>
      </c>
      <c r="G36" s="80">
        <v>0</v>
      </c>
      <c r="H36" s="80">
        <v>0</v>
      </c>
      <c r="I36" s="73">
        <f>G36-H36</f>
        <v>0</v>
      </c>
      <c r="J36" s="71">
        <f>IF(SUM(E36:F36),E36/SUM(E36:F36), 0%)</f>
        <v>0</v>
      </c>
      <c r="K36" s="72">
        <f>IF(E36&gt;0, G36/E36,0)</f>
        <v>0</v>
      </c>
      <c r="L36" s="72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3">SUM(D32:D36)</f>
        <v>0</v>
      </c>
      <c r="E38" s="25">
        <f t="shared" si="3"/>
        <v>0</v>
      </c>
      <c r="F38" s="25">
        <f t="shared" si="3"/>
        <v>0</v>
      </c>
      <c r="G38" s="26">
        <f t="shared" si="3"/>
        <v>0</v>
      </c>
      <c r="H38" s="26">
        <f t="shared" si="3"/>
        <v>0</v>
      </c>
      <c r="I38" s="27">
        <f t="shared" si="3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5">
        <f>SUM(M32:M36)</f>
        <v>0</v>
      </c>
      <c r="N38" s="30"/>
      <c r="O38" s="31"/>
      <c r="P38" s="32"/>
      <c r="Q38" s="32"/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</row>
    <row r="41" spans="2:17" ht="15" customHeight="1" x14ac:dyDescent="0.35">
      <c r="B41" s="1"/>
      <c r="C41" s="1"/>
      <c r="D41" s="1"/>
      <c r="E41" s="1"/>
      <c r="F41" s="1"/>
      <c r="G41" s="1"/>
      <c r="H41" s="1"/>
      <c r="I41" s="1"/>
      <c r="J41" s="1"/>
    </row>
    <row r="42" spans="2:17" ht="15" customHeight="1" x14ac:dyDescent="0.35">
      <c r="B42" s="1"/>
      <c r="C42" s="1"/>
      <c r="D42" s="1"/>
      <c r="E42" s="1"/>
      <c r="F42" s="1"/>
      <c r="G42" s="1"/>
      <c r="H42" s="1"/>
      <c r="I42" s="1"/>
      <c r="J42" s="1"/>
    </row>
    <row r="43" spans="2:17" ht="15" customHeight="1" x14ac:dyDescent="0.35">
      <c r="B43" s="1"/>
      <c r="C43" s="1"/>
      <c r="D43" s="1"/>
      <c r="E43" s="1"/>
      <c r="F43" s="1"/>
      <c r="G43" s="1"/>
      <c r="H43" s="1"/>
      <c r="I43" s="1"/>
      <c r="J43" s="1"/>
    </row>
    <row r="44" spans="2:17" ht="15.75" customHeight="1" x14ac:dyDescent="0.35">
      <c r="B44" s="1"/>
      <c r="C44" s="1"/>
      <c r="D44" s="1"/>
      <c r="E44" s="1"/>
      <c r="F44" s="1"/>
      <c r="G44" s="1"/>
      <c r="H44" s="1"/>
      <c r="I44" s="1"/>
      <c r="J44" s="1"/>
    </row>
    <row r="45" spans="2:17" ht="15.75" customHeight="1" x14ac:dyDescent="0.35">
      <c r="B45" s="1"/>
      <c r="C45" s="1"/>
      <c r="D45" s="1"/>
      <c r="E45" s="1"/>
      <c r="F45" s="1"/>
      <c r="G45" s="1"/>
      <c r="H45" s="1"/>
      <c r="I45" s="1"/>
      <c r="J45" s="1"/>
    </row>
    <row r="46" spans="2:17" x14ac:dyDescent="0.35">
      <c r="B46" s="1"/>
      <c r="C46" s="1"/>
      <c r="D46" s="1"/>
      <c r="E46" s="1"/>
      <c r="F46" s="1"/>
      <c r="G46" s="1"/>
      <c r="H46" s="1"/>
      <c r="I46" s="1"/>
      <c r="J46" s="1"/>
      <c r="P46" s="32"/>
      <c r="Q46" s="32"/>
    </row>
    <row r="49" spans="3:15" x14ac:dyDescent="0.35">
      <c r="C49" s="39" t="s">
        <v>19</v>
      </c>
      <c r="D49" s="10">
        <f>D14+D30+D22+D38+D46</f>
        <v>0</v>
      </c>
      <c r="E49" s="10">
        <f t="shared" ref="E49:L49" si="4">E14+E30+E22+E38+E46</f>
        <v>0</v>
      </c>
      <c r="F49" s="10">
        <f t="shared" si="4"/>
        <v>0</v>
      </c>
      <c r="G49" s="10">
        <f t="shared" si="4"/>
        <v>0</v>
      </c>
      <c r="H49" s="10">
        <f t="shared" si="4"/>
        <v>0</v>
      </c>
      <c r="I49" s="10">
        <f t="shared" si="4"/>
        <v>0</v>
      </c>
      <c r="J49" s="120">
        <f t="shared" si="4"/>
        <v>0</v>
      </c>
      <c r="K49" s="10">
        <f t="shared" si="4"/>
        <v>0</v>
      </c>
      <c r="L49" s="10">
        <f t="shared" si="4"/>
        <v>0</v>
      </c>
      <c r="M49" s="13" t="e">
        <f>#REF!+M14+M22+M30+M38</f>
        <v>#REF!</v>
      </c>
      <c r="N49" s="36"/>
      <c r="O49" s="37"/>
    </row>
  </sheetData>
  <mergeCells count="7">
    <mergeCell ref="O32:O36"/>
    <mergeCell ref="C1:E1"/>
    <mergeCell ref="C2:E2"/>
    <mergeCell ref="O8:O12"/>
    <mergeCell ref="O16:O20"/>
    <mergeCell ref="O24:O28"/>
    <mergeCell ref="H1:H3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Q41"/>
  <sheetViews>
    <sheetView tabSelected="1" topLeftCell="B1" zoomScale="80" zoomScaleNormal="80" workbookViewId="0">
      <pane ySplit="6" topLeftCell="A7" activePane="bottomLeft" state="frozen"/>
      <selection pane="bottomLeft" activeCell="H45" sqref="H45"/>
    </sheetView>
  </sheetViews>
  <sheetFormatPr baseColWidth="10" defaultColWidth="9.1796875" defaultRowHeight="13" x14ac:dyDescent="0.35"/>
  <cols>
    <col min="1" max="1" width="3" style="1" customWidth="1"/>
    <col min="2" max="2" width="9.453125" style="47" bestFit="1" customWidth="1"/>
    <col min="3" max="3" width="14.6328125" style="41" bestFit="1" customWidth="1"/>
    <col min="4" max="4" width="11.26953125" style="21" bestFit="1" customWidth="1"/>
    <col min="5" max="5" width="15.453125" style="21" customWidth="1"/>
    <col min="6" max="6" width="13.7265625" style="21" customWidth="1"/>
    <col min="7" max="7" width="15" style="21" customWidth="1"/>
    <col min="8" max="8" width="15.26953125" style="21" customWidth="1"/>
    <col min="9" max="9" width="11.26953125" style="23" bestFit="1" customWidth="1"/>
    <col min="10" max="10" width="13.453125" style="24" bestFit="1" customWidth="1"/>
    <col min="11" max="11" width="17" style="1" bestFit="1" customWidth="1"/>
    <col min="12" max="12" width="16.7265625" style="1" customWidth="1"/>
    <col min="13" max="13" width="0.453125" style="1" hidden="1" customWidth="1"/>
    <col min="14" max="14" width="9.1796875" style="1"/>
    <col min="15" max="15" width="45.7265625" style="1" bestFit="1" customWidth="1"/>
    <col min="16" max="16384" width="9.1796875" style="1"/>
  </cols>
  <sheetData>
    <row r="1" spans="1:17" x14ac:dyDescent="0.35">
      <c r="C1" s="122" t="s">
        <v>4</v>
      </c>
      <c r="D1" s="122"/>
      <c r="E1" s="122"/>
      <c r="F1" s="2" t="s">
        <v>5</v>
      </c>
      <c r="G1" s="2" t="s">
        <v>6</v>
      </c>
      <c r="H1" s="127"/>
      <c r="I1" s="4" t="s">
        <v>7</v>
      </c>
      <c r="J1" s="4" t="s">
        <v>8</v>
      </c>
      <c r="K1" s="4">
        <f>+(K2-J2)/J2</f>
        <v>0</v>
      </c>
    </row>
    <row r="2" spans="1:17" x14ac:dyDescent="0.35">
      <c r="C2" s="123" t="s">
        <v>1</v>
      </c>
      <c r="D2" s="123"/>
      <c r="E2" s="123"/>
      <c r="F2" s="49">
        <f>I41*5*F3</f>
        <v>0</v>
      </c>
      <c r="G2" s="5">
        <f>-D41*D3*F3</f>
        <v>0</v>
      </c>
      <c r="H2" s="128"/>
      <c r="I2" s="92">
        <f>(F2*F3)+G2</f>
        <v>0</v>
      </c>
      <c r="J2" s="96">
        <v>1250</v>
      </c>
      <c r="K2" s="6">
        <f>I2+J2</f>
        <v>1250</v>
      </c>
    </row>
    <row r="3" spans="1:17" x14ac:dyDescent="0.35">
      <c r="C3" s="38" t="s">
        <v>2</v>
      </c>
      <c r="D3" s="7">
        <v>3</v>
      </c>
      <c r="E3" s="2" t="s">
        <v>3</v>
      </c>
      <c r="F3" s="8">
        <v>1</v>
      </c>
      <c r="G3" s="2"/>
      <c r="H3" s="129"/>
      <c r="I3" s="3"/>
      <c r="J3" s="4"/>
      <c r="K3" s="9"/>
    </row>
    <row r="6" spans="1:17" x14ac:dyDescent="0.35">
      <c r="C6" s="39" t="s">
        <v>9</v>
      </c>
      <c r="D6" s="10" t="s">
        <v>0</v>
      </c>
      <c r="E6" s="10" t="s">
        <v>12</v>
      </c>
      <c r="F6" s="10" t="s">
        <v>13</v>
      </c>
      <c r="G6" s="10" t="s">
        <v>10</v>
      </c>
      <c r="H6" s="10" t="s">
        <v>11</v>
      </c>
      <c r="I6" s="11" t="s">
        <v>14</v>
      </c>
      <c r="J6" s="12" t="s">
        <v>15</v>
      </c>
      <c r="K6" s="13" t="s">
        <v>16</v>
      </c>
      <c r="L6" s="13" t="s">
        <v>17</v>
      </c>
      <c r="M6" s="14"/>
      <c r="N6" s="15"/>
      <c r="O6" s="14" t="s">
        <v>20</v>
      </c>
    </row>
    <row r="7" spans="1:17" ht="15" customHeight="1" thickBot="1" x14ac:dyDescent="0.4">
      <c r="C7" s="40"/>
      <c r="D7" s="16"/>
      <c r="E7" s="16"/>
      <c r="F7" s="16"/>
      <c r="G7" s="16"/>
      <c r="H7" s="16"/>
      <c r="I7" s="17"/>
      <c r="J7" s="18"/>
      <c r="K7" s="19"/>
      <c r="L7" s="19"/>
      <c r="M7" s="20"/>
      <c r="N7" s="20"/>
      <c r="O7" s="20"/>
    </row>
    <row r="8" spans="1:17" x14ac:dyDescent="0.35">
      <c r="A8" s="1">
        <v>1</v>
      </c>
      <c r="B8" s="77" t="s">
        <v>35</v>
      </c>
      <c r="C8" s="78">
        <v>46356</v>
      </c>
      <c r="D8" s="81">
        <v>0</v>
      </c>
      <c r="E8" s="81">
        <v>0</v>
      </c>
      <c r="F8" s="81">
        <v>0</v>
      </c>
      <c r="G8" s="82">
        <v>0</v>
      </c>
      <c r="H8" s="82">
        <v>0</v>
      </c>
      <c r="I8" s="70">
        <f>G8-H8</f>
        <v>0</v>
      </c>
      <c r="J8" s="71">
        <f>IF(SUM(E8:F8),E8/SUM(E8:F8), 0%)</f>
        <v>0</v>
      </c>
      <c r="K8" s="72">
        <f>IF(E8&gt;0, G8/E8,0)</f>
        <v>0</v>
      </c>
      <c r="L8" s="72">
        <f>IF(F8&gt;0,H8/F8,0)</f>
        <v>0</v>
      </c>
      <c r="M8" s="50">
        <v>0</v>
      </c>
      <c r="O8" s="124"/>
    </row>
    <row r="9" spans="1:17" ht="15" customHeight="1" x14ac:dyDescent="0.35">
      <c r="B9" s="77" t="s">
        <v>36</v>
      </c>
      <c r="C9" s="78">
        <f>+C8+1</f>
        <v>46357</v>
      </c>
      <c r="D9" s="79">
        <v>0</v>
      </c>
      <c r="E9" s="79">
        <v>0</v>
      </c>
      <c r="F9" s="79">
        <v>0</v>
      </c>
      <c r="G9" s="80">
        <v>0</v>
      </c>
      <c r="H9" s="80">
        <v>0</v>
      </c>
      <c r="I9" s="73">
        <f>G9-H9</f>
        <v>0</v>
      </c>
      <c r="J9" s="71">
        <f>IF(SUM(E9:F9),E9/SUM(E9:F9), 0%)</f>
        <v>0</v>
      </c>
      <c r="K9" s="72">
        <f>IF(E9&gt;0, G9/E9,0)</f>
        <v>0</v>
      </c>
      <c r="L9" s="72">
        <f>IF(F9&gt;0,H9/F9,0)</f>
        <v>0</v>
      </c>
      <c r="M9" s="51">
        <v>0</v>
      </c>
      <c r="O9" s="125"/>
    </row>
    <row r="10" spans="1:17" ht="15" customHeight="1" x14ac:dyDescent="0.35">
      <c r="B10" s="77" t="s">
        <v>37</v>
      </c>
      <c r="C10" s="78">
        <f t="shared" ref="C10:C12" si="0">+C9+1</f>
        <v>46358</v>
      </c>
      <c r="D10" s="79">
        <v>0</v>
      </c>
      <c r="E10" s="79">
        <v>0</v>
      </c>
      <c r="F10" s="79">
        <v>0</v>
      </c>
      <c r="G10" s="80">
        <v>0</v>
      </c>
      <c r="H10" s="80">
        <v>0</v>
      </c>
      <c r="I10" s="73">
        <f>G10-H10</f>
        <v>0</v>
      </c>
      <c r="J10" s="71">
        <f>IF(SUM(E10:F10),E10/SUM(E10:F10), 0%)</f>
        <v>0</v>
      </c>
      <c r="K10" s="72">
        <f>IF(E10&gt;0, G10/E10,0)</f>
        <v>0</v>
      </c>
      <c r="L10" s="72">
        <f>IF(F10&gt;0,H10/F10,0)</f>
        <v>0</v>
      </c>
      <c r="M10" s="51">
        <v>0</v>
      </c>
      <c r="O10" s="125"/>
    </row>
    <row r="11" spans="1:17" ht="15" customHeight="1" x14ac:dyDescent="0.35">
      <c r="B11" s="48" t="s">
        <v>38</v>
      </c>
      <c r="C11" s="78">
        <f t="shared" si="0"/>
        <v>46359</v>
      </c>
      <c r="D11" s="59">
        <v>0</v>
      </c>
      <c r="E11" s="59">
        <v>0</v>
      </c>
      <c r="F11" s="59">
        <v>0</v>
      </c>
      <c r="G11" s="60">
        <v>0</v>
      </c>
      <c r="H11" s="60">
        <v>0</v>
      </c>
      <c r="I11" s="64">
        <f>G11-H11</f>
        <v>0</v>
      </c>
      <c r="J11" s="65">
        <f>IF(SUM(E11:F11),E11/SUM(E11:F11), 0%)</f>
        <v>0</v>
      </c>
      <c r="K11" s="66">
        <f>IF(E11&gt;0, G11/E11,0)</f>
        <v>0</v>
      </c>
      <c r="L11" s="66">
        <f>IF(F11&gt;0,H11/F11,0)</f>
        <v>0</v>
      </c>
      <c r="M11" s="51">
        <v>0</v>
      </c>
      <c r="O11" s="125"/>
    </row>
    <row r="12" spans="1:17" ht="15.75" customHeight="1" thickBot="1" x14ac:dyDescent="0.4">
      <c r="B12" s="48" t="s">
        <v>39</v>
      </c>
      <c r="C12" s="78">
        <f t="shared" si="0"/>
        <v>46360</v>
      </c>
      <c r="D12" s="59">
        <v>0</v>
      </c>
      <c r="E12" s="59">
        <v>0</v>
      </c>
      <c r="F12" s="59">
        <v>0</v>
      </c>
      <c r="G12" s="60">
        <v>0</v>
      </c>
      <c r="H12" s="60">
        <v>0</v>
      </c>
      <c r="I12" s="64">
        <f>G12-H12</f>
        <v>0</v>
      </c>
      <c r="J12" s="65">
        <f>IF(SUM(E12:F12),E12/SUM(E12:F12), 0%)</f>
        <v>0</v>
      </c>
      <c r="K12" s="66">
        <f>IF(E12&gt;0, G12/E12,0)</f>
        <v>0</v>
      </c>
      <c r="L12" s="66">
        <f>IF(F12&gt;0,H12/F12,0)</f>
        <v>0</v>
      </c>
      <c r="M12" s="52">
        <v>0</v>
      </c>
      <c r="O12" s="126"/>
    </row>
    <row r="13" spans="1:17" x14ac:dyDescent="0.35">
      <c r="G13" s="22"/>
      <c r="H13" s="22"/>
    </row>
    <row r="14" spans="1:17" x14ac:dyDescent="0.35">
      <c r="C14" s="42" t="s">
        <v>18</v>
      </c>
      <c r="D14" s="25">
        <f t="shared" ref="D14:I14" si="1">SUM(D8:D12)</f>
        <v>0</v>
      </c>
      <c r="E14" s="25">
        <f t="shared" si="1"/>
        <v>0</v>
      </c>
      <c r="F14" s="25">
        <f t="shared" si="1"/>
        <v>0</v>
      </c>
      <c r="G14" s="26">
        <f t="shared" si="1"/>
        <v>0</v>
      </c>
      <c r="H14" s="26">
        <f t="shared" si="1"/>
        <v>0</v>
      </c>
      <c r="I14" s="27">
        <f t="shared" si="1"/>
        <v>0</v>
      </c>
      <c r="J14" s="28">
        <f>IF(SUM(E14:F14),E14/SUM(E14:F14), 0%)</f>
        <v>0</v>
      </c>
      <c r="K14" s="26">
        <f>IF(E14&gt;0, G14/E14,0)</f>
        <v>0</v>
      </c>
      <c r="L14" s="26">
        <f>IF(F14&gt;0,H14/F14,0)</f>
        <v>0</v>
      </c>
      <c r="M14" s="29">
        <f>SUM(M8:M12)</f>
        <v>0</v>
      </c>
      <c r="N14" s="30"/>
      <c r="O14" s="31"/>
      <c r="P14" s="32"/>
      <c r="Q14" s="32"/>
    </row>
    <row r="15" spans="1:17" ht="13.5" thickBot="1" x14ac:dyDescent="0.4">
      <c r="G15" s="22"/>
      <c r="H15" s="22"/>
    </row>
    <row r="16" spans="1:17" x14ac:dyDescent="0.35">
      <c r="A16" s="1">
        <v>2</v>
      </c>
      <c r="B16" s="48" t="s">
        <v>35</v>
      </c>
      <c r="C16" s="53">
        <f>+C12+3</f>
        <v>46363</v>
      </c>
      <c r="D16" s="59">
        <v>0</v>
      </c>
      <c r="E16" s="59">
        <v>0</v>
      </c>
      <c r="F16" s="59">
        <v>0</v>
      </c>
      <c r="G16" s="60">
        <v>0</v>
      </c>
      <c r="H16" s="60">
        <v>0</v>
      </c>
      <c r="I16" s="61">
        <f>G16-H16</f>
        <v>0</v>
      </c>
      <c r="J16" s="62">
        <f>IF(SUM(E16:F16),E16/SUM(E16:F16), 0%)</f>
        <v>0</v>
      </c>
      <c r="K16" s="58">
        <f>IF(E16&gt;0, G16/E16,0)</f>
        <v>0</v>
      </c>
      <c r="L16" s="58">
        <f>IF(F16&gt;0,H16/F16,0)</f>
        <v>0</v>
      </c>
      <c r="M16" s="50">
        <v>0</v>
      </c>
      <c r="O16" s="124"/>
    </row>
    <row r="17" spans="1:17" ht="15" customHeight="1" x14ac:dyDescent="0.35">
      <c r="B17" s="48" t="s">
        <v>36</v>
      </c>
      <c r="C17" s="53">
        <f>C16+1</f>
        <v>46364</v>
      </c>
      <c r="D17" s="59">
        <v>0</v>
      </c>
      <c r="E17" s="59">
        <v>0</v>
      </c>
      <c r="F17" s="59">
        <v>0</v>
      </c>
      <c r="G17" s="60">
        <v>0</v>
      </c>
      <c r="H17" s="60">
        <v>0</v>
      </c>
      <c r="I17" s="61">
        <f>G17-H17</f>
        <v>0</v>
      </c>
      <c r="J17" s="62">
        <f>IF(SUM(E17:F17),E17/SUM(E17:F17), 0%)</f>
        <v>0</v>
      </c>
      <c r="K17" s="63">
        <f>IF(E17&gt;0, G17/E17,0)</f>
        <v>0</v>
      </c>
      <c r="L17" s="63">
        <f>IF(F17&gt;0,H17/F17,0)</f>
        <v>0</v>
      </c>
      <c r="M17" s="33">
        <v>0</v>
      </c>
      <c r="O17" s="125"/>
      <c r="Q17" s="34"/>
    </row>
    <row r="18" spans="1:17" ht="15" customHeight="1" x14ac:dyDescent="0.35">
      <c r="B18" s="48" t="s">
        <v>37</v>
      </c>
      <c r="C18" s="53">
        <f>C17+1</f>
        <v>46365</v>
      </c>
      <c r="D18" s="59">
        <v>0</v>
      </c>
      <c r="E18" s="59">
        <v>0</v>
      </c>
      <c r="F18" s="59">
        <v>0</v>
      </c>
      <c r="G18" s="60">
        <v>0</v>
      </c>
      <c r="H18" s="60">
        <v>0</v>
      </c>
      <c r="I18" s="61">
        <f>G18-H18</f>
        <v>0</v>
      </c>
      <c r="J18" s="62">
        <f>IF(SUM(E18:F18),E18/SUM(E18:F18), 0%)</f>
        <v>0</v>
      </c>
      <c r="K18" s="63">
        <f>IF(E18&gt;0, G18/E18,0)</f>
        <v>0</v>
      </c>
      <c r="L18" s="63">
        <f>IF(F18&gt;0,H18/F18,0)</f>
        <v>0</v>
      </c>
      <c r="M18" s="33">
        <v>0</v>
      </c>
      <c r="O18" s="125"/>
    </row>
    <row r="19" spans="1:17" ht="15" customHeight="1" x14ac:dyDescent="0.35">
      <c r="B19" s="48" t="s">
        <v>38</v>
      </c>
      <c r="C19" s="53">
        <f>C18+1</f>
        <v>46366</v>
      </c>
      <c r="D19" s="59">
        <v>0</v>
      </c>
      <c r="E19" s="59">
        <v>0</v>
      </c>
      <c r="F19" s="59">
        <v>0</v>
      </c>
      <c r="G19" s="60">
        <v>0</v>
      </c>
      <c r="H19" s="60">
        <v>0</v>
      </c>
      <c r="I19" s="61">
        <f>G19-H19</f>
        <v>0</v>
      </c>
      <c r="J19" s="62">
        <f>IF(SUM(E19:F19),E19/SUM(E19:F19), 0%)</f>
        <v>0</v>
      </c>
      <c r="K19" s="63">
        <f>IF(E19&gt;0, G19/E19,0)</f>
        <v>0</v>
      </c>
      <c r="L19" s="63">
        <f>IF(F19&gt;0,H19/F19,0)</f>
        <v>0</v>
      </c>
      <c r="M19" s="33">
        <v>0</v>
      </c>
      <c r="O19" s="125"/>
    </row>
    <row r="20" spans="1:17" ht="15.75" customHeight="1" thickBot="1" x14ac:dyDescent="0.4">
      <c r="B20" s="48" t="s">
        <v>39</v>
      </c>
      <c r="C20" s="53">
        <f>C19+1</f>
        <v>46367</v>
      </c>
      <c r="D20" s="59">
        <v>0</v>
      </c>
      <c r="E20" s="59">
        <v>0</v>
      </c>
      <c r="F20" s="59">
        <v>0</v>
      </c>
      <c r="G20" s="60">
        <v>0</v>
      </c>
      <c r="H20" s="60">
        <v>0</v>
      </c>
      <c r="I20" s="61">
        <f>G20-H20</f>
        <v>0</v>
      </c>
      <c r="J20" s="62">
        <f>IF(SUM(E20:F20),E20/SUM(E20:F20), 0%)</f>
        <v>0</v>
      </c>
      <c r="K20" s="63">
        <f>IF(E20&gt;0, G20/E20,0)</f>
        <v>0</v>
      </c>
      <c r="L20" s="63">
        <f>IF(F20&gt;0,H20/F20,0)</f>
        <v>0</v>
      </c>
      <c r="M20" s="35">
        <v>0</v>
      </c>
      <c r="O20" s="126"/>
    </row>
    <row r="21" spans="1:17" x14ac:dyDescent="0.35">
      <c r="G21" s="22"/>
      <c r="H21" s="22"/>
    </row>
    <row r="22" spans="1:17" x14ac:dyDescent="0.35">
      <c r="C22" s="42" t="s">
        <v>18</v>
      </c>
      <c r="D22" s="25">
        <f t="shared" ref="D22:I22" si="2">SUM(D16:D20)</f>
        <v>0</v>
      </c>
      <c r="E22" s="25">
        <f t="shared" si="2"/>
        <v>0</v>
      </c>
      <c r="F22" s="25">
        <f t="shared" si="2"/>
        <v>0</v>
      </c>
      <c r="G22" s="26">
        <f t="shared" si="2"/>
        <v>0</v>
      </c>
      <c r="H22" s="26">
        <f t="shared" si="2"/>
        <v>0</v>
      </c>
      <c r="I22" s="27">
        <f t="shared" si="2"/>
        <v>0</v>
      </c>
      <c r="J22" s="28">
        <f>IF(SUM(E22:F22),E22/SUM(E22:F22), 0%)</f>
        <v>0</v>
      </c>
      <c r="K22" s="26">
        <f>IF(E22&gt;0, G22/E22,0)</f>
        <v>0</v>
      </c>
      <c r="L22" s="26">
        <f>IF(F22&gt;0,H22/F22,0)</f>
        <v>0</v>
      </c>
      <c r="M22" s="29">
        <f>SUM(M16:M20)</f>
        <v>0</v>
      </c>
      <c r="N22" s="30"/>
      <c r="O22" s="31"/>
      <c r="P22" s="32"/>
      <c r="Q22" s="32"/>
    </row>
    <row r="23" spans="1:17" ht="13.5" thickBot="1" x14ac:dyDescent="0.4">
      <c r="G23" s="22"/>
      <c r="H23" s="22"/>
    </row>
    <row r="24" spans="1:17" x14ac:dyDescent="0.35">
      <c r="A24" s="1">
        <v>3</v>
      </c>
      <c r="B24" s="48" t="s">
        <v>35</v>
      </c>
      <c r="C24" s="53">
        <f>C20+3</f>
        <v>46370</v>
      </c>
      <c r="D24" s="59">
        <v>0</v>
      </c>
      <c r="E24" s="59">
        <v>0</v>
      </c>
      <c r="F24" s="59">
        <v>0</v>
      </c>
      <c r="G24" s="60">
        <v>0</v>
      </c>
      <c r="H24" s="60">
        <v>0</v>
      </c>
      <c r="I24" s="61">
        <f>G24-H24</f>
        <v>0</v>
      </c>
      <c r="J24" s="62">
        <f>IF(SUM(E24:F24),E24/SUM(E24:F24), 0%)</f>
        <v>0</v>
      </c>
      <c r="K24" s="58">
        <f>IF(E24&gt;0, G24/E24,0)</f>
        <v>0</v>
      </c>
      <c r="L24" s="58">
        <f>IF(F24&gt;0,H24/F24,0)</f>
        <v>0</v>
      </c>
      <c r="M24" s="50">
        <v>0</v>
      </c>
      <c r="O24" s="124"/>
    </row>
    <row r="25" spans="1:17" ht="15" customHeight="1" x14ac:dyDescent="0.35">
      <c r="B25" s="48" t="s">
        <v>36</v>
      </c>
      <c r="C25" s="53">
        <f>C24+1</f>
        <v>46371</v>
      </c>
      <c r="D25" s="59">
        <v>0</v>
      </c>
      <c r="E25" s="59">
        <v>0</v>
      </c>
      <c r="F25" s="59">
        <v>0</v>
      </c>
      <c r="G25" s="60">
        <v>0</v>
      </c>
      <c r="H25" s="60">
        <v>0</v>
      </c>
      <c r="I25" s="61">
        <f>G25-H25</f>
        <v>0</v>
      </c>
      <c r="J25" s="62">
        <f>IF(SUM(E25:F25),E25/SUM(E25:F25), 0%)</f>
        <v>0</v>
      </c>
      <c r="K25" s="63">
        <f>IF(E25&gt;0, G25/E25,0)</f>
        <v>0</v>
      </c>
      <c r="L25" s="63">
        <f>IF(F25&gt;0,H25/F25,0)</f>
        <v>0</v>
      </c>
      <c r="M25" s="33">
        <v>0</v>
      </c>
      <c r="O25" s="125"/>
    </row>
    <row r="26" spans="1:17" ht="15" customHeight="1" x14ac:dyDescent="0.35">
      <c r="B26" s="48" t="s">
        <v>37</v>
      </c>
      <c r="C26" s="53">
        <f>C25+1</f>
        <v>46372</v>
      </c>
      <c r="D26" s="59">
        <v>0</v>
      </c>
      <c r="E26" s="59">
        <v>0</v>
      </c>
      <c r="F26" s="59">
        <v>0</v>
      </c>
      <c r="G26" s="60">
        <v>0</v>
      </c>
      <c r="H26" s="60">
        <v>0</v>
      </c>
      <c r="I26" s="61">
        <f>G26-H26</f>
        <v>0</v>
      </c>
      <c r="J26" s="62">
        <f>IF(SUM(E26:F26),E26/SUM(E26:F26), 0%)</f>
        <v>0</v>
      </c>
      <c r="K26" s="63">
        <f>IF(E26&gt;0, G26/E26,0)</f>
        <v>0</v>
      </c>
      <c r="L26" s="63">
        <f>IF(F26&gt;0,H26/F26,0)</f>
        <v>0</v>
      </c>
      <c r="M26" s="33">
        <v>0</v>
      </c>
      <c r="O26" s="125"/>
    </row>
    <row r="27" spans="1:17" ht="15" customHeight="1" x14ac:dyDescent="0.35">
      <c r="B27" s="48" t="s">
        <v>38</v>
      </c>
      <c r="C27" s="53">
        <f>C26+1</f>
        <v>46373</v>
      </c>
      <c r="D27" s="59">
        <v>0</v>
      </c>
      <c r="E27" s="59">
        <v>0</v>
      </c>
      <c r="F27" s="59">
        <v>0</v>
      </c>
      <c r="G27" s="60">
        <v>0</v>
      </c>
      <c r="H27" s="60">
        <v>0</v>
      </c>
      <c r="I27" s="61">
        <f>G27-H27</f>
        <v>0</v>
      </c>
      <c r="J27" s="62">
        <f>IF(SUM(E27:F27),E27/SUM(E27:F27), 0%)</f>
        <v>0</v>
      </c>
      <c r="K27" s="63">
        <f>IF(E27&gt;0, G27/E27,0)</f>
        <v>0</v>
      </c>
      <c r="L27" s="63">
        <f>IF(F27&gt;0,H27/F27,0)</f>
        <v>0</v>
      </c>
      <c r="M27" s="33">
        <v>0</v>
      </c>
      <c r="O27" s="125"/>
    </row>
    <row r="28" spans="1:17" ht="15.75" customHeight="1" thickBot="1" x14ac:dyDescent="0.4">
      <c r="B28" s="48" t="s">
        <v>39</v>
      </c>
      <c r="C28" s="53">
        <f>C27+1</f>
        <v>46374</v>
      </c>
      <c r="D28" s="59">
        <v>0</v>
      </c>
      <c r="E28" s="59">
        <v>0</v>
      </c>
      <c r="F28" s="59">
        <v>0</v>
      </c>
      <c r="G28" s="60">
        <v>0</v>
      </c>
      <c r="H28" s="60">
        <v>0</v>
      </c>
      <c r="I28" s="61">
        <f>G28-H28</f>
        <v>0</v>
      </c>
      <c r="J28" s="62">
        <f>IF(SUM(E28:F28),E28/SUM(E28:F28), 0%)</f>
        <v>0</v>
      </c>
      <c r="K28" s="63">
        <f>IF(E28&gt;0, G28/E28,0)</f>
        <v>0</v>
      </c>
      <c r="L28" s="63">
        <f>IF(F28&gt;0,H28/F28,0)</f>
        <v>0</v>
      </c>
      <c r="M28" s="35">
        <v>0</v>
      </c>
      <c r="O28" s="126"/>
    </row>
    <row r="29" spans="1:17" x14ac:dyDescent="0.35">
      <c r="G29" s="22"/>
      <c r="H29" s="22"/>
    </row>
    <row r="30" spans="1:17" x14ac:dyDescent="0.35">
      <c r="C30" s="42" t="s">
        <v>18</v>
      </c>
      <c r="D30" s="25">
        <f t="shared" ref="D30:I30" si="3">SUM(D24:D28)</f>
        <v>0</v>
      </c>
      <c r="E30" s="25">
        <f t="shared" si="3"/>
        <v>0</v>
      </c>
      <c r="F30" s="25">
        <f t="shared" si="3"/>
        <v>0</v>
      </c>
      <c r="G30" s="26">
        <f t="shared" si="3"/>
        <v>0</v>
      </c>
      <c r="H30" s="26">
        <f t="shared" si="3"/>
        <v>0</v>
      </c>
      <c r="I30" s="27">
        <f t="shared" si="3"/>
        <v>0</v>
      </c>
      <c r="J30" s="28">
        <f>IF(SUM(E30:F30),E30/SUM(E30:F30), 0%)</f>
        <v>0</v>
      </c>
      <c r="K30" s="26">
        <f>IF(E30&gt;0, G30/E30,0)</f>
        <v>0</v>
      </c>
      <c r="L30" s="26">
        <f>IF(F30&gt;0,H30/F30,0)</f>
        <v>0</v>
      </c>
      <c r="M30" s="29">
        <f>SUM(M24:M28)</f>
        <v>0</v>
      </c>
      <c r="N30" s="30"/>
      <c r="O30" s="31"/>
      <c r="P30" s="32"/>
      <c r="Q30" s="32"/>
    </row>
    <row r="31" spans="1:17" ht="13.5" thickBot="1" x14ac:dyDescent="0.4">
      <c r="G31" s="22"/>
      <c r="H31" s="22"/>
    </row>
    <row r="32" spans="1:17" x14ac:dyDescent="0.35">
      <c r="A32" s="1">
        <v>4</v>
      </c>
      <c r="B32" s="48" t="s">
        <v>35</v>
      </c>
      <c r="C32" s="53">
        <f>C28+3</f>
        <v>46377</v>
      </c>
      <c r="D32" s="59">
        <v>0</v>
      </c>
      <c r="E32" s="59">
        <v>0</v>
      </c>
      <c r="F32" s="59">
        <v>0</v>
      </c>
      <c r="G32" s="60">
        <v>0</v>
      </c>
      <c r="H32" s="60">
        <v>0</v>
      </c>
      <c r="I32" s="61">
        <f>G32-H32</f>
        <v>0</v>
      </c>
      <c r="J32" s="62">
        <f>IF(SUM(E32:F32),E32/SUM(E32:F32), 0%)</f>
        <v>0</v>
      </c>
      <c r="K32" s="58">
        <f>IF(E32&gt;0, G32/E32,0)</f>
        <v>0</v>
      </c>
      <c r="L32" s="58">
        <f>IF(F32&gt;0,H32/F32,0)</f>
        <v>0</v>
      </c>
      <c r="M32" s="50">
        <v>0</v>
      </c>
      <c r="O32" s="124"/>
    </row>
    <row r="33" spans="2:17" ht="15" customHeight="1" x14ac:dyDescent="0.35">
      <c r="B33" s="48" t="s">
        <v>36</v>
      </c>
      <c r="C33" s="53">
        <f>C32+1</f>
        <v>46378</v>
      </c>
      <c r="D33" s="59">
        <v>0</v>
      </c>
      <c r="E33" s="59">
        <v>0</v>
      </c>
      <c r="F33" s="59">
        <v>0</v>
      </c>
      <c r="G33" s="60">
        <v>0</v>
      </c>
      <c r="H33" s="60">
        <v>0</v>
      </c>
      <c r="I33" s="61">
        <f>G33-H33</f>
        <v>0</v>
      </c>
      <c r="J33" s="62">
        <f>IF(SUM(E33:F33),E33/SUM(E33:F33), 0%)</f>
        <v>0</v>
      </c>
      <c r="K33" s="63">
        <f>IF(E33&gt;0, G33/E33,0)</f>
        <v>0</v>
      </c>
      <c r="L33" s="63">
        <f>IF(F33&gt;0,H33/F33,0)</f>
        <v>0</v>
      </c>
      <c r="M33" s="33">
        <v>0</v>
      </c>
      <c r="O33" s="125"/>
    </row>
    <row r="34" spans="2:17" ht="15" customHeight="1" x14ac:dyDescent="0.35">
      <c r="B34" s="48" t="s">
        <v>37</v>
      </c>
      <c r="C34" s="53">
        <f>C33+1</f>
        <v>46379</v>
      </c>
      <c r="D34" s="59">
        <v>0</v>
      </c>
      <c r="E34" s="59">
        <v>0</v>
      </c>
      <c r="F34" s="59">
        <v>0</v>
      </c>
      <c r="G34" s="60">
        <v>0</v>
      </c>
      <c r="H34" s="60">
        <v>0</v>
      </c>
      <c r="I34" s="61">
        <f>G34-H34</f>
        <v>0</v>
      </c>
      <c r="J34" s="62">
        <f>IF(SUM(E34:F34),E34/SUM(E34:F34), 0%)</f>
        <v>0</v>
      </c>
      <c r="K34" s="63">
        <f>IF(E34&gt;0, G34/E34,0)</f>
        <v>0</v>
      </c>
      <c r="L34" s="63">
        <f>IF(F34&gt;0,H34/F34,0)</f>
        <v>0</v>
      </c>
      <c r="M34" s="33">
        <v>0</v>
      </c>
      <c r="O34" s="125"/>
    </row>
    <row r="35" spans="2:17" ht="15" customHeight="1" x14ac:dyDescent="0.35">
      <c r="B35" s="48" t="s">
        <v>38</v>
      </c>
      <c r="C35" s="53">
        <f>C34+1</f>
        <v>46380</v>
      </c>
      <c r="D35" s="59">
        <v>0</v>
      </c>
      <c r="E35" s="59">
        <v>0</v>
      </c>
      <c r="F35" s="59">
        <v>0</v>
      </c>
      <c r="G35" s="60">
        <v>0</v>
      </c>
      <c r="H35" s="60">
        <v>0</v>
      </c>
      <c r="I35" s="61">
        <f>G35-H35</f>
        <v>0</v>
      </c>
      <c r="J35" s="62">
        <f>IF(SUM(E35:F35),E35/SUM(E35:F35), 0%)</f>
        <v>0</v>
      </c>
      <c r="K35" s="63">
        <f>IF(E35&gt;0, G35/E35,0)</f>
        <v>0</v>
      </c>
      <c r="L35" s="63">
        <f>IF(F35&gt;0,H35/F35,0)</f>
        <v>0</v>
      </c>
      <c r="M35" s="33">
        <v>0</v>
      </c>
      <c r="O35" s="125"/>
    </row>
    <row r="36" spans="2:17" ht="15.75" customHeight="1" thickBot="1" x14ac:dyDescent="0.4">
      <c r="B36" s="48" t="s">
        <v>39</v>
      </c>
      <c r="C36" s="53">
        <f>C35+1</f>
        <v>46381</v>
      </c>
      <c r="D36" s="59">
        <v>0</v>
      </c>
      <c r="E36" s="59">
        <v>0</v>
      </c>
      <c r="F36" s="59">
        <v>0</v>
      </c>
      <c r="G36" s="60">
        <v>0</v>
      </c>
      <c r="H36" s="60">
        <v>0</v>
      </c>
      <c r="I36" s="61">
        <f>G36-H36</f>
        <v>0</v>
      </c>
      <c r="J36" s="62">
        <f>IF(SUM(E36:F36),E36/SUM(E36:F36), 0%)</f>
        <v>0</v>
      </c>
      <c r="K36" s="63">
        <f>IF(E36&gt;0, G36/E36,0)</f>
        <v>0</v>
      </c>
      <c r="L36" s="63">
        <f>IF(F36&gt;0,H36/F36,0)</f>
        <v>0</v>
      </c>
      <c r="M36" s="35">
        <v>0</v>
      </c>
      <c r="O36" s="126"/>
    </row>
    <row r="37" spans="2:17" x14ac:dyDescent="0.35">
      <c r="G37" s="22"/>
      <c r="H37" s="22"/>
    </row>
    <row r="38" spans="2:17" x14ac:dyDescent="0.35">
      <c r="C38" s="42" t="s">
        <v>18</v>
      </c>
      <c r="D38" s="25">
        <f t="shared" ref="D38:I38" si="4">SUM(D32:D36)</f>
        <v>0</v>
      </c>
      <c r="E38" s="25">
        <f t="shared" si="4"/>
        <v>0</v>
      </c>
      <c r="F38" s="25">
        <f t="shared" si="4"/>
        <v>0</v>
      </c>
      <c r="G38" s="26">
        <f t="shared" si="4"/>
        <v>0</v>
      </c>
      <c r="H38" s="26">
        <f t="shared" si="4"/>
        <v>0</v>
      </c>
      <c r="I38" s="27">
        <f t="shared" si="4"/>
        <v>0</v>
      </c>
      <c r="J38" s="28">
        <f>IF(SUM(E38:F38),E38/SUM(E38:F38), 0%)</f>
        <v>0</v>
      </c>
      <c r="K38" s="26">
        <f>IF(E38&gt;0, G38/E38,0)</f>
        <v>0</v>
      </c>
      <c r="L38" s="26">
        <f>IF(F38&gt;0,H38/F38,0)</f>
        <v>0</v>
      </c>
      <c r="M38" s="29">
        <f>SUM(M32:M36)</f>
        <v>0</v>
      </c>
      <c r="N38" s="30"/>
      <c r="O38" s="31"/>
      <c r="P38" s="32"/>
      <c r="Q38" s="32"/>
    </row>
    <row r="39" spans="2:17" x14ac:dyDescent="0.35">
      <c r="G39" s="22"/>
      <c r="H39" s="22"/>
    </row>
    <row r="41" spans="2:17" x14ac:dyDescent="0.35">
      <c r="C41" s="39" t="s">
        <v>19</v>
      </c>
      <c r="D41" s="10">
        <f>D14+D22+D38+D30</f>
        <v>0</v>
      </c>
      <c r="E41" s="10">
        <f t="shared" ref="E41:L41" si="5">E14+E22+E38+E30</f>
        <v>0</v>
      </c>
      <c r="F41" s="10">
        <f t="shared" si="5"/>
        <v>0</v>
      </c>
      <c r="G41" s="10">
        <f t="shared" si="5"/>
        <v>0</v>
      </c>
      <c r="H41" s="10">
        <f t="shared" si="5"/>
        <v>0</v>
      </c>
      <c r="I41" s="10">
        <f t="shared" si="5"/>
        <v>0</v>
      </c>
      <c r="J41" s="120">
        <f t="shared" si="5"/>
        <v>0</v>
      </c>
      <c r="K41" s="10">
        <f t="shared" si="5"/>
        <v>0</v>
      </c>
      <c r="L41" s="10">
        <f t="shared" si="5"/>
        <v>0</v>
      </c>
      <c r="M41" s="13" t="e">
        <f>M14+M22+M30+M38+#REF!</f>
        <v>#REF!</v>
      </c>
      <c r="N41" s="36"/>
      <c r="O41" s="37"/>
    </row>
  </sheetData>
  <autoFilter ref="C8:C12"/>
  <mergeCells count="7">
    <mergeCell ref="O32:O36"/>
    <mergeCell ref="H1:H3"/>
    <mergeCell ref="C1:E1"/>
    <mergeCell ref="C2:E2"/>
    <mergeCell ref="O8:O12"/>
    <mergeCell ref="O16:O20"/>
    <mergeCell ref="O24:O28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B1:O15"/>
  <sheetViews>
    <sheetView zoomScale="90" zoomScaleNormal="90" workbookViewId="0">
      <selection activeCell="H19" sqref="H19"/>
    </sheetView>
  </sheetViews>
  <sheetFormatPr baseColWidth="10" defaultColWidth="8.81640625" defaultRowHeight="14.5" x14ac:dyDescent="0.35"/>
  <cols>
    <col min="1" max="1" width="6" style="83" customWidth="1"/>
    <col min="2" max="2" width="12.453125" style="88" bestFit="1" customWidth="1"/>
    <col min="3" max="3" width="11.26953125" style="83" bestFit="1" customWidth="1"/>
    <col min="4" max="4" width="9.1796875" style="89" bestFit="1" customWidth="1"/>
    <col min="5" max="5" width="9.453125" style="89" bestFit="1" customWidth="1"/>
    <col min="6" max="6" width="13.7265625" style="83" bestFit="1" customWidth="1"/>
    <col min="7" max="7" width="14.26953125" style="83" bestFit="1" customWidth="1"/>
    <col min="8" max="8" width="11.26953125" style="83" bestFit="1" customWidth="1"/>
    <col min="9" max="9" width="10.26953125" style="91" bestFit="1" customWidth="1"/>
    <col min="10" max="10" width="17" style="83" bestFit="1" customWidth="1"/>
    <col min="11" max="11" width="16.26953125" style="83" bestFit="1" customWidth="1"/>
    <col min="12" max="12" width="3.1796875" style="83" customWidth="1"/>
    <col min="13" max="13" width="10.7265625" style="93" bestFit="1" customWidth="1"/>
    <col min="14" max="14" width="9.26953125" style="83" bestFit="1" customWidth="1"/>
    <col min="15" max="15" width="12.26953125" style="93" customWidth="1"/>
    <col min="16" max="16384" width="8.81640625" style="83"/>
  </cols>
  <sheetData>
    <row r="1" spans="2:15" ht="27.5" x14ac:dyDescent="0.35">
      <c r="B1" s="137" t="s">
        <v>44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5" x14ac:dyDescent="0.35">
      <c r="B2" s="99" t="s">
        <v>21</v>
      </c>
      <c r="C2" s="100" t="s">
        <v>0</v>
      </c>
      <c r="D2" s="100" t="s">
        <v>12</v>
      </c>
      <c r="E2" s="100" t="s">
        <v>13</v>
      </c>
      <c r="F2" s="100" t="s">
        <v>10</v>
      </c>
      <c r="G2" s="100" t="s">
        <v>11</v>
      </c>
      <c r="H2" s="101" t="s">
        <v>14</v>
      </c>
      <c r="I2" s="102" t="s">
        <v>15</v>
      </c>
      <c r="J2" s="103" t="s">
        <v>16</v>
      </c>
      <c r="K2" s="103" t="s">
        <v>43</v>
      </c>
      <c r="L2" s="104"/>
      <c r="M2" s="105" t="s">
        <v>6</v>
      </c>
      <c r="N2" s="103" t="s">
        <v>40</v>
      </c>
      <c r="O2" s="106" t="s">
        <v>41</v>
      </c>
    </row>
    <row r="3" spans="2:15" x14ac:dyDescent="0.35">
      <c r="B3" s="84" t="s">
        <v>22</v>
      </c>
      <c r="C3" s="85">
        <f>+Ene!D48</f>
        <v>0</v>
      </c>
      <c r="D3" s="85">
        <f>+Ene!E48</f>
        <v>0</v>
      </c>
      <c r="E3" s="85">
        <f>+Ene!$F$48</f>
        <v>0</v>
      </c>
      <c r="F3" s="86">
        <f>+Ene!$G$48</f>
        <v>0</v>
      </c>
      <c r="G3" s="86">
        <f>+Ene!$H$48</f>
        <v>0</v>
      </c>
      <c r="H3" s="86">
        <f>+F3-G3</f>
        <v>0</v>
      </c>
      <c r="I3" s="90" t="str">
        <f>IF(C3&gt;0,D3/C3,"-")</f>
        <v>-</v>
      </c>
      <c r="J3" s="86">
        <f>+Ene!$K$48</f>
        <v>0</v>
      </c>
      <c r="K3" s="86">
        <f>+Ene!$L$48</f>
        <v>0</v>
      </c>
      <c r="L3" s="87"/>
      <c r="M3" s="97">
        <f>+Ene!$G$2</f>
        <v>0</v>
      </c>
      <c r="N3" s="85">
        <f>+Ene!$F$3</f>
        <v>1</v>
      </c>
      <c r="O3" s="94">
        <f>+Ene!$I$2</f>
        <v>0</v>
      </c>
    </row>
    <row r="4" spans="2:15" x14ac:dyDescent="0.35">
      <c r="B4" s="84" t="s">
        <v>23</v>
      </c>
      <c r="C4" s="85">
        <f>+Feb!D40</f>
        <v>0</v>
      </c>
      <c r="D4" s="85">
        <f>+Feb!E40</f>
        <v>0</v>
      </c>
      <c r="E4" s="85">
        <f>+Feb!$F$40</f>
        <v>0</v>
      </c>
      <c r="F4" s="86">
        <f>+Feb!$G$40</f>
        <v>0</v>
      </c>
      <c r="G4" s="86">
        <f>+Feb!$H$40</f>
        <v>0</v>
      </c>
      <c r="H4" s="86">
        <f t="shared" ref="H4:H14" si="0">+F4-G4</f>
        <v>0</v>
      </c>
      <c r="I4" s="90" t="str">
        <f t="shared" ref="I4:I14" si="1">IF(C4&gt;0,D4/C4,"-")</f>
        <v>-</v>
      </c>
      <c r="J4" s="86">
        <f>+Feb!$K$40</f>
        <v>0</v>
      </c>
      <c r="K4" s="86">
        <f>+Feb!$L$40</f>
        <v>0</v>
      </c>
      <c r="L4" s="87"/>
      <c r="M4" s="97">
        <f>+Feb!$G$2</f>
        <v>0</v>
      </c>
      <c r="N4" s="85">
        <f>+Feb!$F$3</f>
        <v>1</v>
      </c>
      <c r="O4" s="94">
        <f>+Feb!$I$2</f>
        <v>0</v>
      </c>
    </row>
    <row r="5" spans="2:15" x14ac:dyDescent="0.35">
      <c r="B5" s="84" t="s">
        <v>24</v>
      </c>
      <c r="C5" s="85">
        <f>+Mar!D48</f>
        <v>0</v>
      </c>
      <c r="D5" s="85">
        <f>+Mar!E48</f>
        <v>0</v>
      </c>
      <c r="E5" s="85">
        <f>+Mar!$F$48</f>
        <v>0</v>
      </c>
      <c r="F5" s="86">
        <f>+Mar!$G$48</f>
        <v>0</v>
      </c>
      <c r="G5" s="86">
        <f>+Mar!$H$48</f>
        <v>0</v>
      </c>
      <c r="H5" s="86">
        <f t="shared" si="0"/>
        <v>0</v>
      </c>
      <c r="I5" s="90" t="str">
        <f t="shared" si="1"/>
        <v>-</v>
      </c>
      <c r="J5" s="86">
        <f>+Mar!$K$48</f>
        <v>0</v>
      </c>
      <c r="K5" s="86">
        <f>+Mar!$L$48</f>
        <v>0</v>
      </c>
      <c r="L5" s="87"/>
      <c r="M5" s="97">
        <f>+Mar!$G$2</f>
        <v>0</v>
      </c>
      <c r="N5" s="85">
        <f>+Mar!$F$3</f>
        <v>1</v>
      </c>
      <c r="O5" s="94">
        <f>+Mar!$I$2</f>
        <v>0</v>
      </c>
    </row>
    <row r="6" spans="2:15" x14ac:dyDescent="0.35">
      <c r="B6" s="84" t="s">
        <v>25</v>
      </c>
      <c r="C6" s="85">
        <f>+Abr!D48</f>
        <v>0</v>
      </c>
      <c r="D6" s="85">
        <f>+Abr!E48</f>
        <v>0</v>
      </c>
      <c r="E6" s="85">
        <f>+Abr!$F$48</f>
        <v>0</v>
      </c>
      <c r="F6" s="86">
        <f>+Abr!$G$48</f>
        <v>0</v>
      </c>
      <c r="G6" s="86">
        <f>+Abr!$H$48</f>
        <v>0</v>
      </c>
      <c r="H6" s="86">
        <f t="shared" si="0"/>
        <v>0</v>
      </c>
      <c r="I6" s="90" t="str">
        <f t="shared" si="1"/>
        <v>-</v>
      </c>
      <c r="J6" s="86">
        <f>+Abr!$K$48</f>
        <v>0</v>
      </c>
      <c r="K6" s="86">
        <f>+Abr!$L$48</f>
        <v>0</v>
      </c>
      <c r="L6" s="87"/>
      <c r="M6" s="97">
        <f>+Abr!$G$2</f>
        <v>0</v>
      </c>
      <c r="N6" s="85">
        <f>+Abr!$F$3</f>
        <v>1</v>
      </c>
      <c r="O6" s="94">
        <f>+Abr!$I$2</f>
        <v>0</v>
      </c>
    </row>
    <row r="7" spans="2:15" x14ac:dyDescent="0.35">
      <c r="B7" s="84" t="s">
        <v>26</v>
      </c>
      <c r="C7" s="85">
        <f>+May!D40</f>
        <v>0</v>
      </c>
      <c r="D7" s="85">
        <f>+May!E40</f>
        <v>0</v>
      </c>
      <c r="E7" s="85">
        <f>+May!$F$40</f>
        <v>0</v>
      </c>
      <c r="F7" s="86">
        <f>+May!$G$40</f>
        <v>0</v>
      </c>
      <c r="G7" s="86">
        <f>+May!$H$40</f>
        <v>0</v>
      </c>
      <c r="H7" s="86">
        <f t="shared" si="0"/>
        <v>0</v>
      </c>
      <c r="I7" s="90" t="str">
        <f t="shared" si="1"/>
        <v>-</v>
      </c>
      <c r="J7" s="86">
        <f>+May!$K$40</f>
        <v>0</v>
      </c>
      <c r="K7" s="86">
        <f>+May!$L$40</f>
        <v>0</v>
      </c>
      <c r="L7" s="87"/>
      <c r="M7" s="97">
        <f>+May!$G$2</f>
        <v>0</v>
      </c>
      <c r="N7" s="85">
        <f>+May!$F$3</f>
        <v>1</v>
      </c>
      <c r="O7" s="94">
        <f>+May!$I$2</f>
        <v>0</v>
      </c>
    </row>
    <row r="8" spans="2:15" x14ac:dyDescent="0.35">
      <c r="B8" s="84" t="s">
        <v>27</v>
      </c>
      <c r="C8" s="85">
        <f>+Jun!D48</f>
        <v>0</v>
      </c>
      <c r="D8" s="85">
        <f>+Jun!E48</f>
        <v>0</v>
      </c>
      <c r="E8" s="85">
        <f>+Jun!$F$48</f>
        <v>0</v>
      </c>
      <c r="F8" s="86">
        <f>+Jun!$G$48</f>
        <v>0</v>
      </c>
      <c r="G8" s="86">
        <f>+Jun!$H$48</f>
        <v>0</v>
      </c>
      <c r="H8" s="86">
        <f t="shared" si="0"/>
        <v>0</v>
      </c>
      <c r="I8" s="90" t="str">
        <f t="shared" si="1"/>
        <v>-</v>
      </c>
      <c r="J8" s="86">
        <f>+Jun!$K$48</f>
        <v>0</v>
      </c>
      <c r="K8" s="86">
        <f>+Jun!$L$48</f>
        <v>0</v>
      </c>
      <c r="L8" s="87"/>
      <c r="M8" s="97">
        <f>+Jun!$G$2</f>
        <v>0</v>
      </c>
      <c r="N8" s="85">
        <f>+Jun!$F$3</f>
        <v>1</v>
      </c>
      <c r="O8" s="94">
        <f>+Jun!$I$2</f>
        <v>0</v>
      </c>
    </row>
    <row r="9" spans="2:15" x14ac:dyDescent="0.35">
      <c r="B9" s="84" t="s">
        <v>28</v>
      </c>
      <c r="C9" s="85">
        <f>+Jul!D41</f>
        <v>0</v>
      </c>
      <c r="D9" s="85">
        <f>+Jul!E41</f>
        <v>0</v>
      </c>
      <c r="E9" s="85">
        <f>+Jul!$F$41</f>
        <v>0</v>
      </c>
      <c r="F9" s="86">
        <f>+Jul!$G$41</f>
        <v>0</v>
      </c>
      <c r="G9" s="86">
        <f>+Jul!$H$41</f>
        <v>0</v>
      </c>
      <c r="H9" s="86">
        <f t="shared" si="0"/>
        <v>0</v>
      </c>
      <c r="I9" s="90" t="str">
        <f t="shared" si="1"/>
        <v>-</v>
      </c>
      <c r="J9" s="86">
        <f>+Jul!$K$41</f>
        <v>0</v>
      </c>
      <c r="K9" s="86">
        <f>+Jul!$L$41</f>
        <v>0</v>
      </c>
      <c r="L9" s="87"/>
      <c r="M9" s="97">
        <f>+Jul!$G$2</f>
        <v>0</v>
      </c>
      <c r="N9" s="85">
        <f>+Jul!$F$3</f>
        <v>1</v>
      </c>
      <c r="O9" s="94">
        <f>+Jul!$I$2</f>
        <v>0</v>
      </c>
    </row>
    <row r="10" spans="2:15" x14ac:dyDescent="0.35">
      <c r="B10" s="84" t="s">
        <v>29</v>
      </c>
      <c r="C10" s="85">
        <f>+Ago!D42</f>
        <v>0</v>
      </c>
      <c r="D10" s="85">
        <f>+Ago!E42</f>
        <v>0</v>
      </c>
      <c r="E10" s="85">
        <f>+Ago!$F$42</f>
        <v>0</v>
      </c>
      <c r="F10" s="86">
        <f>+Ago!$G$42</f>
        <v>0</v>
      </c>
      <c r="G10" s="86">
        <f>+Ago!$H$42</f>
        <v>0</v>
      </c>
      <c r="H10" s="86">
        <f t="shared" si="0"/>
        <v>0</v>
      </c>
      <c r="I10" s="90" t="str">
        <f t="shared" si="1"/>
        <v>-</v>
      </c>
      <c r="J10" s="86">
        <f>+Ago!$K$42</f>
        <v>0</v>
      </c>
      <c r="K10" s="86">
        <f>+Ago!$L$42</f>
        <v>0</v>
      </c>
      <c r="L10" s="87"/>
      <c r="M10" s="97">
        <f>+Ago!$G$2</f>
        <v>0</v>
      </c>
      <c r="N10" s="85">
        <f>+Ago!$F$3</f>
        <v>1</v>
      </c>
      <c r="O10" s="94">
        <f>+Ago!$I$2</f>
        <v>0</v>
      </c>
    </row>
    <row r="11" spans="2:15" x14ac:dyDescent="0.35">
      <c r="B11" s="84" t="s">
        <v>30</v>
      </c>
      <c r="C11" s="85">
        <f>+Sep!D48</f>
        <v>0</v>
      </c>
      <c r="D11" s="85">
        <f>+Sep!E48</f>
        <v>0</v>
      </c>
      <c r="E11" s="85">
        <f>+Sep!$F$48</f>
        <v>0</v>
      </c>
      <c r="F11" s="86">
        <f>+Sep!$G$48</f>
        <v>0</v>
      </c>
      <c r="G11" s="86">
        <f>+Sep!$H$48</f>
        <v>0</v>
      </c>
      <c r="H11" s="86">
        <f t="shared" si="0"/>
        <v>0</v>
      </c>
      <c r="I11" s="90" t="str">
        <f t="shared" si="1"/>
        <v>-</v>
      </c>
      <c r="J11" s="86">
        <f>+Sep!$K$48</f>
        <v>0</v>
      </c>
      <c r="K11" s="86">
        <f>+Sep!$L$48</f>
        <v>0</v>
      </c>
      <c r="L11" s="87"/>
      <c r="M11" s="97">
        <f>+Sep!$G$2</f>
        <v>0</v>
      </c>
      <c r="N11" s="85">
        <f>+Sep!$F$3</f>
        <v>1</v>
      </c>
      <c r="O11" s="94">
        <f>+Sep!$I$2</f>
        <v>0</v>
      </c>
    </row>
    <row r="12" spans="2:15" x14ac:dyDescent="0.35">
      <c r="B12" s="84" t="s">
        <v>31</v>
      </c>
      <c r="C12" s="85">
        <f>+Oct!C49</f>
        <v>0</v>
      </c>
      <c r="D12" s="85">
        <f>+Oct!D49</f>
        <v>0</v>
      </c>
      <c r="E12" s="85">
        <f>+Oct!$E$49</f>
        <v>0</v>
      </c>
      <c r="F12" s="86">
        <f>+Oct!$F$49</f>
        <v>0</v>
      </c>
      <c r="G12" s="86">
        <f>+Oct!$G$49</f>
        <v>0</v>
      </c>
      <c r="H12" s="86">
        <f t="shared" si="0"/>
        <v>0</v>
      </c>
      <c r="I12" s="90" t="str">
        <f t="shared" si="1"/>
        <v>-</v>
      </c>
      <c r="J12" s="86">
        <f>+Oct!$J$49</f>
        <v>0</v>
      </c>
      <c r="K12" s="86">
        <f>+Oct!$K$49</f>
        <v>0</v>
      </c>
      <c r="L12" s="87"/>
      <c r="M12" s="97">
        <f>+Oct!$F$2</f>
        <v>0</v>
      </c>
      <c r="N12" s="85">
        <f>+Oct!$E$3</f>
        <v>1</v>
      </c>
      <c r="O12" s="94">
        <f>+Oct!$H$2</f>
        <v>0</v>
      </c>
    </row>
    <row r="13" spans="2:15" x14ac:dyDescent="0.35">
      <c r="B13" s="84" t="s">
        <v>32</v>
      </c>
      <c r="C13" s="85">
        <f>+Nov!D49</f>
        <v>0</v>
      </c>
      <c r="D13" s="85">
        <f>+Nov!E49</f>
        <v>0</v>
      </c>
      <c r="E13" s="85">
        <f>+Nov!$F$49</f>
        <v>0</v>
      </c>
      <c r="F13" s="86">
        <f>+Nov!$G$49</f>
        <v>0</v>
      </c>
      <c r="G13" s="86">
        <f>+Nov!$H$49</f>
        <v>0</v>
      </c>
      <c r="H13" s="86">
        <f t="shared" si="0"/>
        <v>0</v>
      </c>
      <c r="I13" s="90" t="str">
        <f t="shared" si="1"/>
        <v>-</v>
      </c>
      <c r="J13" s="86">
        <f>+Nov!$K$49</f>
        <v>0</v>
      </c>
      <c r="K13" s="86">
        <f>+Nov!$L$49</f>
        <v>0</v>
      </c>
      <c r="L13" s="87"/>
      <c r="M13" s="97">
        <f>+Nov!$G$2</f>
        <v>0</v>
      </c>
      <c r="N13" s="85">
        <f>+Nov!$F$3</f>
        <v>1</v>
      </c>
      <c r="O13" s="94">
        <f>+Nov!$I$2</f>
        <v>0</v>
      </c>
    </row>
    <row r="14" spans="2:15" x14ac:dyDescent="0.35">
      <c r="B14" s="84" t="s">
        <v>33</v>
      </c>
      <c r="C14" s="85">
        <f>+Dic!D41</f>
        <v>0</v>
      </c>
      <c r="D14" s="85">
        <f>+Dic!E41</f>
        <v>0</v>
      </c>
      <c r="E14" s="85">
        <f>+Dic!$F$41</f>
        <v>0</v>
      </c>
      <c r="F14" s="86">
        <f>+Dic!$G$41</f>
        <v>0</v>
      </c>
      <c r="G14" s="86">
        <f>+Dic!$H$41</f>
        <v>0</v>
      </c>
      <c r="H14" s="86">
        <f t="shared" si="0"/>
        <v>0</v>
      </c>
      <c r="I14" s="90" t="str">
        <f t="shared" si="1"/>
        <v>-</v>
      </c>
      <c r="J14" s="86">
        <f>+Dic!$K$41</f>
        <v>0</v>
      </c>
      <c r="K14" s="86">
        <f>+Dic!$L$41</f>
        <v>0</v>
      </c>
      <c r="L14" s="87"/>
      <c r="M14" s="97">
        <f>+Dic!$G$2</f>
        <v>0</v>
      </c>
      <c r="N14" s="85">
        <f>+Dic!$F$3</f>
        <v>1</v>
      </c>
      <c r="O14" s="94">
        <f>+Dic!$I$2</f>
        <v>0</v>
      </c>
    </row>
    <row r="15" spans="2:15" s="98" customFormat="1" ht="15.5" x14ac:dyDescent="0.35">
      <c r="B15" s="107" t="s">
        <v>34</v>
      </c>
      <c r="C15" s="108">
        <f t="shared" ref="C15:H15" si="2">SUM(C3:C14)</f>
        <v>0</v>
      </c>
      <c r="D15" s="108">
        <f t="shared" si="2"/>
        <v>0</v>
      </c>
      <c r="E15" s="108">
        <f t="shared" si="2"/>
        <v>0</v>
      </c>
      <c r="F15" s="108">
        <f t="shared" si="2"/>
        <v>0</v>
      </c>
      <c r="G15" s="108">
        <f t="shared" si="2"/>
        <v>0</v>
      </c>
      <c r="H15" s="108">
        <f t="shared" si="2"/>
        <v>0</v>
      </c>
      <c r="I15" s="109" t="str">
        <f>IF(C15&gt;0,AVERAGE(I3:I14),"-")</f>
        <v>-</v>
      </c>
      <c r="J15" s="110">
        <f>IF(D15&gt;0, F15/D15,0)</f>
        <v>0</v>
      </c>
      <c r="K15" s="110">
        <f>IF(E15&gt;0,G15/E15,0)</f>
        <v>0</v>
      </c>
      <c r="L15" s="108"/>
      <c r="M15" s="111">
        <f>SUM(M3:M14)</f>
        <v>0</v>
      </c>
      <c r="N15" s="108"/>
      <c r="O15" s="111">
        <f>SUM(O3:O14)</f>
        <v>0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TOTALES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Equipo</cp:lastModifiedBy>
  <dcterms:created xsi:type="dcterms:W3CDTF">2014-11-21T19:19:46Z</dcterms:created>
  <dcterms:modified xsi:type="dcterms:W3CDTF">2026-01-29T00:51:25Z</dcterms:modified>
</cp:coreProperties>
</file>